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6380" yWindow="765" windowWidth="9360" windowHeight="12540"/>
  </bookViews>
  <sheets>
    <sheet name="다물건" sheetId="10" r:id="rId1"/>
    <sheet name="진행비 표" sheetId="11" r:id="rId2"/>
    <sheet name="수목하우스" sheetId="8" r:id="rId3"/>
    <sheet name="포세이돈비" sheetId="9" r:id="rId4"/>
  </sheets>
  <definedNames>
    <definedName name="_xlnm._FilterDatabase" localSheetId="2" hidden="1">수목하우스!$A$4:$M$4</definedName>
    <definedName name="_xlnm._FilterDatabase" localSheetId="3" hidden="1">포세이돈비!$A$4:$M$12</definedName>
    <definedName name="_xlnm.Print_Area" localSheetId="2">수목하우스!$A$1:$M$35</definedName>
  </definedNames>
  <calcPr calcId="144525"/>
</workbook>
</file>

<file path=xl/calcChain.xml><?xml version="1.0" encoding="utf-8"?>
<calcChain xmlns="http://schemas.openxmlformats.org/spreadsheetml/2006/main">
  <c r="F62" i="11" l="1"/>
  <c r="E62" i="11"/>
  <c r="D62" i="11"/>
  <c r="G61" i="11"/>
  <c r="F61" i="11"/>
  <c r="E61" i="11"/>
  <c r="D61" i="11"/>
  <c r="G60" i="11"/>
  <c r="F60" i="11"/>
  <c r="E60" i="11"/>
  <c r="D60" i="11"/>
  <c r="G59" i="11"/>
  <c r="F59" i="11"/>
  <c r="E59" i="11"/>
  <c r="D59" i="11"/>
  <c r="G58" i="11"/>
  <c r="F58" i="11"/>
  <c r="E58" i="11"/>
  <c r="D58" i="11"/>
  <c r="G57" i="11"/>
  <c r="F57" i="11"/>
  <c r="E57" i="11"/>
  <c r="D57" i="11"/>
  <c r="G56" i="11"/>
  <c r="F56" i="11"/>
  <c r="E56" i="11"/>
  <c r="D56" i="11"/>
  <c r="G55" i="11"/>
  <c r="F55" i="11"/>
  <c r="E55" i="11"/>
  <c r="D55" i="11"/>
  <c r="G54" i="11"/>
  <c r="F54" i="11"/>
  <c r="E54" i="11"/>
  <c r="D54" i="11"/>
  <c r="G53" i="11"/>
  <c r="F53" i="11"/>
  <c r="E53" i="11"/>
  <c r="D53" i="11"/>
  <c r="G52" i="11"/>
  <c r="F52" i="11"/>
  <c r="E52" i="11"/>
  <c r="D52" i="11"/>
  <c r="G51" i="11"/>
  <c r="F51" i="11"/>
  <c r="E51" i="11"/>
  <c r="D51" i="11"/>
  <c r="G50" i="11"/>
  <c r="F50" i="11"/>
  <c r="E50" i="11"/>
  <c r="D50" i="11"/>
  <c r="G49" i="11"/>
  <c r="F49" i="11"/>
  <c r="E49" i="11"/>
  <c r="D49" i="11"/>
  <c r="G48" i="11"/>
  <c r="F48" i="11"/>
  <c r="E48" i="11"/>
  <c r="D48" i="11"/>
  <c r="G47" i="11"/>
  <c r="F47" i="11"/>
  <c r="E47" i="11"/>
  <c r="D47" i="11"/>
  <c r="G46" i="11"/>
  <c r="F46" i="11"/>
  <c r="E46" i="11"/>
  <c r="D46" i="11"/>
  <c r="F45" i="11"/>
  <c r="E45" i="11"/>
  <c r="D45" i="11"/>
  <c r="F44" i="11"/>
  <c r="E44" i="11"/>
  <c r="D44" i="11"/>
  <c r="F43" i="11"/>
  <c r="E43" i="11"/>
  <c r="D43" i="11"/>
  <c r="G42" i="11"/>
  <c r="F42" i="11"/>
  <c r="E42" i="11"/>
  <c r="D42" i="11"/>
  <c r="G41" i="11"/>
  <c r="F41" i="11"/>
  <c r="E41" i="11"/>
  <c r="D41" i="11"/>
  <c r="G40" i="11"/>
  <c r="F40" i="11"/>
  <c r="E40" i="11"/>
  <c r="D40" i="11"/>
  <c r="G39" i="11"/>
  <c r="F39" i="11"/>
  <c r="E39" i="11"/>
  <c r="D39" i="11"/>
  <c r="G38" i="11"/>
  <c r="F38" i="11"/>
  <c r="E38" i="11"/>
  <c r="D38" i="11"/>
  <c r="G37" i="11"/>
  <c r="F37" i="11"/>
  <c r="E37" i="11"/>
  <c r="D37" i="11"/>
  <c r="G36" i="11"/>
  <c r="F36" i="11"/>
  <c r="E36" i="11"/>
  <c r="D36" i="11"/>
  <c r="G35" i="11"/>
  <c r="F35" i="11"/>
  <c r="E35" i="11"/>
  <c r="D35" i="11"/>
  <c r="G34" i="11"/>
  <c r="F34" i="11"/>
  <c r="E34" i="11"/>
  <c r="D34" i="11"/>
  <c r="G33" i="11"/>
  <c r="F33" i="11"/>
  <c r="E33" i="11"/>
  <c r="D33" i="11"/>
  <c r="G32" i="11"/>
  <c r="F32" i="11"/>
  <c r="E32" i="11"/>
  <c r="D32" i="11"/>
  <c r="G31" i="11"/>
  <c r="F31" i="11"/>
  <c r="E31" i="11"/>
  <c r="D31" i="11"/>
  <c r="G30" i="11"/>
  <c r="F30" i="11"/>
  <c r="E30" i="11"/>
  <c r="D30" i="11"/>
  <c r="G29" i="11"/>
  <c r="F29" i="11"/>
  <c r="E29" i="11"/>
  <c r="D29" i="11"/>
  <c r="G28" i="11"/>
  <c r="F28" i="11"/>
  <c r="E28" i="11"/>
  <c r="D28" i="11"/>
  <c r="G27" i="11"/>
  <c r="F27" i="11"/>
  <c r="E27" i="11"/>
  <c r="D27" i="11"/>
  <c r="G26" i="11"/>
  <c r="F26" i="11"/>
  <c r="E26" i="11"/>
  <c r="D26" i="11"/>
  <c r="G25" i="11"/>
  <c r="F25" i="11"/>
  <c r="E25" i="11"/>
  <c r="D25" i="11"/>
  <c r="G24" i="11"/>
  <c r="F24" i="11"/>
  <c r="E24" i="11"/>
  <c r="D24" i="11"/>
  <c r="G23" i="11"/>
  <c r="F23" i="11"/>
  <c r="E23" i="11"/>
  <c r="D23" i="11"/>
  <c r="G22" i="11"/>
  <c r="F22" i="11"/>
  <c r="E22" i="11"/>
  <c r="D22" i="11"/>
  <c r="G21" i="11"/>
  <c r="F21" i="11"/>
  <c r="E21" i="11"/>
  <c r="D21" i="11"/>
  <c r="G20" i="11"/>
  <c r="F20" i="11"/>
  <c r="E20" i="11"/>
  <c r="D20" i="11"/>
  <c r="G19" i="11"/>
  <c r="F19" i="11"/>
  <c r="E19" i="11"/>
  <c r="D19" i="11"/>
  <c r="G18" i="11"/>
  <c r="F18" i="11"/>
  <c r="E18" i="11"/>
  <c r="D18" i="11"/>
  <c r="G17" i="11"/>
  <c r="F17" i="11"/>
  <c r="E17" i="11"/>
  <c r="D17" i="11"/>
  <c r="G16" i="11"/>
  <c r="F16" i="11"/>
  <c r="E16" i="11"/>
  <c r="D16" i="11"/>
  <c r="G15" i="11"/>
  <c r="F15" i="11"/>
  <c r="E15" i="11"/>
  <c r="D15" i="11"/>
  <c r="G14" i="11"/>
  <c r="F14" i="11"/>
  <c r="E14" i="11"/>
  <c r="D14" i="11"/>
  <c r="G13" i="11"/>
  <c r="F13" i="11"/>
  <c r="E13" i="11"/>
  <c r="D13" i="11"/>
  <c r="G12" i="11"/>
  <c r="F12" i="11"/>
  <c r="E12" i="11"/>
  <c r="D12" i="11"/>
  <c r="G11" i="11"/>
  <c r="F11" i="11"/>
  <c r="E11" i="11"/>
  <c r="D11" i="11"/>
  <c r="G10" i="11"/>
  <c r="F10" i="11"/>
  <c r="E10" i="11"/>
  <c r="D10" i="11"/>
  <c r="G9" i="11"/>
  <c r="F9" i="11"/>
  <c r="E9" i="11"/>
  <c r="D9" i="11"/>
  <c r="G8" i="11"/>
  <c r="F8" i="11"/>
  <c r="E8" i="11"/>
  <c r="D8" i="11"/>
  <c r="G7" i="11"/>
  <c r="F7" i="11"/>
  <c r="E7" i="11"/>
  <c r="D7" i="11"/>
  <c r="G6" i="11"/>
  <c r="F6" i="11"/>
  <c r="E6" i="11"/>
  <c r="D6" i="11"/>
  <c r="G5" i="11"/>
  <c r="F5" i="11"/>
  <c r="E5" i="11"/>
  <c r="D5" i="11"/>
  <c r="G4" i="11"/>
  <c r="F4" i="11"/>
  <c r="E4" i="11"/>
  <c r="D4" i="11"/>
  <c r="G3" i="11"/>
  <c r="F3" i="11"/>
  <c r="E3" i="11"/>
  <c r="D3" i="11"/>
  <c r="J6" i="8" l="1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J30" i="8"/>
  <c r="J31" i="8"/>
  <c r="J32" i="8"/>
  <c r="J33" i="8"/>
  <c r="J34" i="8"/>
  <c r="J35" i="8"/>
  <c r="J5" i="8"/>
  <c r="K9" i="9"/>
  <c r="K11" i="9"/>
  <c r="K5" i="9"/>
  <c r="K6" i="9"/>
  <c r="K10" i="9"/>
  <c r="K8" i="9"/>
  <c r="K12" i="9"/>
  <c r="K7" i="9"/>
  <c r="R31" i="8" l="1"/>
  <c r="R28" i="8"/>
  <c r="O30" i="8"/>
  <c r="R32" i="8"/>
  <c r="R35" i="8" s="1"/>
  <c r="R29" i="8"/>
  <c r="X24" i="8" l="1"/>
  <c r="U25" i="8"/>
  <c r="P22" i="8" l="1"/>
  <c r="P24" i="8" s="1"/>
  <c r="O22" i="8"/>
  <c r="O24" i="8" s="1"/>
  <c r="R5" i="8"/>
  <c r="P15" i="8"/>
  <c r="O15" i="8"/>
  <c r="Q6" i="8"/>
  <c r="P6" i="8"/>
  <c r="O5" i="8"/>
  <c r="L36" i="8" l="1"/>
</calcChain>
</file>

<file path=xl/sharedStrings.xml><?xml version="1.0" encoding="utf-8"?>
<sst xmlns="http://schemas.openxmlformats.org/spreadsheetml/2006/main" count="296" uniqueCount="178">
  <si>
    <t>순번</t>
    <phoneticPr fontId="1" type="noConversion"/>
  </si>
  <si>
    <t>물건번호</t>
    <phoneticPr fontId="1" type="noConversion"/>
  </si>
  <si>
    <t>사건번호</t>
    <phoneticPr fontId="1" type="noConversion"/>
  </si>
  <si>
    <t>평</t>
    <phoneticPr fontId="1" type="noConversion"/>
  </si>
  <si>
    <t>호수</t>
    <phoneticPr fontId="1" type="noConversion"/>
  </si>
  <si>
    <t>보증금</t>
    <phoneticPr fontId="1" type="noConversion"/>
  </si>
  <si>
    <t>대리인</t>
    <phoneticPr fontId="1" type="noConversion"/>
  </si>
  <si>
    <t>비고</t>
    <phoneticPr fontId="1" type="noConversion"/>
  </si>
  <si>
    <t>2024타경54470</t>
    <phoneticPr fontId="1" type="noConversion"/>
  </si>
  <si>
    <t>부산광역시 중구 보수동2가 89-10 수목하우스</t>
    <phoneticPr fontId="1" type="noConversion"/>
  </si>
  <si>
    <t>부산광역시 중구 보수대로 124번길 65 수목하우스</t>
    <phoneticPr fontId="1" type="noConversion"/>
  </si>
  <si>
    <t>임승환</t>
    <phoneticPr fontId="1" type="noConversion"/>
  </si>
  <si>
    <t>김인선</t>
    <phoneticPr fontId="1" type="noConversion"/>
  </si>
  <si>
    <t>조홍래</t>
    <phoneticPr fontId="1" type="noConversion"/>
  </si>
  <si>
    <t>이승희</t>
    <phoneticPr fontId="1" type="noConversion"/>
  </si>
  <si>
    <t>최승현</t>
    <phoneticPr fontId="1" type="noConversion"/>
  </si>
  <si>
    <t>정윤진</t>
    <phoneticPr fontId="1" type="noConversion"/>
  </si>
  <si>
    <t>정윤진</t>
    <phoneticPr fontId="1" type="noConversion"/>
  </si>
  <si>
    <t>이명희 미선택</t>
    <phoneticPr fontId="1" type="noConversion"/>
  </si>
  <si>
    <t>카카오</t>
    <phoneticPr fontId="1" type="noConversion"/>
  </si>
  <si>
    <t>텔레그램</t>
    <phoneticPr fontId="1" type="noConversion"/>
  </si>
  <si>
    <t>2024타경54470</t>
    <phoneticPr fontId="1" type="noConversion"/>
  </si>
  <si>
    <t>확정</t>
    <phoneticPr fontId="1" type="noConversion"/>
  </si>
  <si>
    <t>정윤진</t>
    <phoneticPr fontId="1" type="noConversion"/>
  </si>
  <si>
    <t>인적사항</t>
    <phoneticPr fontId="1" type="noConversion"/>
  </si>
  <si>
    <t>전자본인</t>
    <phoneticPr fontId="1" type="noConversion"/>
  </si>
  <si>
    <t>보증금</t>
    <phoneticPr fontId="1" type="noConversion"/>
  </si>
  <si>
    <t>환급</t>
    <phoneticPr fontId="1" type="noConversion"/>
  </si>
  <si>
    <t>김대성</t>
    <phoneticPr fontId="1" type="noConversion"/>
  </si>
  <si>
    <t>임승환</t>
    <phoneticPr fontId="1" type="noConversion"/>
  </si>
  <si>
    <t>김인선</t>
    <phoneticPr fontId="1" type="noConversion"/>
  </si>
  <si>
    <t>조홍래</t>
    <phoneticPr fontId="1" type="noConversion"/>
  </si>
  <si>
    <t>최승현</t>
    <phoneticPr fontId="1" type="noConversion"/>
  </si>
  <si>
    <t>이승희</t>
    <phoneticPr fontId="1" type="noConversion"/>
  </si>
  <si>
    <t>이도인</t>
    <phoneticPr fontId="1" type="noConversion"/>
  </si>
  <si>
    <t>정윤진</t>
    <phoneticPr fontId="1" type="noConversion"/>
  </si>
  <si>
    <t>2024타경51860</t>
    <phoneticPr fontId="1" type="noConversion"/>
  </si>
  <si>
    <t>부산광역시 중구 영주동 545-18 포세이돈비 1002호</t>
    <phoneticPr fontId="1" type="noConversion"/>
  </si>
  <si>
    <t>부산광역시 중구 중구로 178 포세이돈비 1002호</t>
    <phoneticPr fontId="1" type="noConversion"/>
  </si>
  <si>
    <t>순번</t>
    <phoneticPr fontId="1" type="noConversion"/>
  </si>
  <si>
    <t>사건번호</t>
    <phoneticPr fontId="1" type="noConversion"/>
  </si>
  <si>
    <t>물건번호</t>
    <phoneticPr fontId="1" type="noConversion"/>
  </si>
  <si>
    <t>회원명</t>
    <phoneticPr fontId="1" type="noConversion"/>
  </si>
  <si>
    <t>클래스</t>
    <phoneticPr fontId="1" type="noConversion"/>
  </si>
  <si>
    <t>호수</t>
    <phoneticPr fontId="1" type="noConversion"/>
  </si>
  <si>
    <t>평</t>
    <phoneticPr fontId="1" type="noConversion"/>
  </si>
  <si>
    <t>보증금</t>
    <phoneticPr fontId="1" type="noConversion"/>
  </si>
  <si>
    <t>대리인</t>
    <phoneticPr fontId="1" type="noConversion"/>
  </si>
  <si>
    <t>비고</t>
    <phoneticPr fontId="1" type="noConversion"/>
  </si>
  <si>
    <t>2024타경 51860</t>
    <phoneticPr fontId="1" type="noConversion"/>
  </si>
  <si>
    <t>임승환</t>
    <phoneticPr fontId="1" type="noConversion"/>
  </si>
  <si>
    <t>돈클</t>
    <phoneticPr fontId="1" type="noConversion"/>
  </si>
  <si>
    <t>김인선</t>
    <phoneticPr fontId="1" type="noConversion"/>
  </si>
  <si>
    <t>김대성</t>
    <phoneticPr fontId="1" type="noConversion"/>
  </si>
  <si>
    <t>조홍래</t>
    <phoneticPr fontId="1" type="noConversion"/>
  </si>
  <si>
    <t>정윤진</t>
    <phoneticPr fontId="1" type="noConversion"/>
  </si>
  <si>
    <t>860729-1120411</t>
    <phoneticPr fontId="1" type="noConversion"/>
  </si>
  <si>
    <t>부산광역시 동래구 사직북로 64 사직KCC스위첸 203동 2304호</t>
    <phoneticPr fontId="1" type="noConversion"/>
  </si>
  <si>
    <t>010-5004-3652</t>
    <phoneticPr fontId="1" type="noConversion"/>
  </si>
  <si>
    <t>이도인</t>
    <phoneticPr fontId="1" type="noConversion"/>
  </si>
  <si>
    <t>861114-1114322</t>
    <phoneticPr fontId="1" type="noConversion"/>
  </si>
  <si>
    <t>부산광역시 사상구 대동로 148-29, 1동 903호</t>
    <phoneticPr fontId="1" type="noConversion"/>
  </si>
  <si>
    <t>010-3567-3907</t>
    <phoneticPr fontId="1" type="noConversion"/>
  </si>
  <si>
    <t>이도인님</t>
    <phoneticPr fontId="1" type="noConversion"/>
  </si>
  <si>
    <t>2024타경 54470</t>
    <phoneticPr fontId="1" type="noConversion"/>
  </si>
  <si>
    <t>물건번호</t>
    <phoneticPr fontId="1" type="noConversion"/>
  </si>
  <si>
    <t>보증금</t>
    <phoneticPr fontId="1" type="noConversion"/>
  </si>
  <si>
    <t>정윤진님</t>
    <phoneticPr fontId="1" type="noConversion"/>
  </si>
  <si>
    <t>대리입찰비</t>
    <phoneticPr fontId="1" type="noConversion"/>
  </si>
  <si>
    <t>총입금금액</t>
    <phoneticPr fontId="1" type="noConversion"/>
  </si>
  <si>
    <t>대리입찰비</t>
    <phoneticPr fontId="1" type="noConversion"/>
  </si>
  <si>
    <t>최저매각가</t>
    <phoneticPr fontId="1" type="noConversion"/>
  </si>
  <si>
    <t>입찰가</t>
    <phoneticPr fontId="1" type="noConversion"/>
  </si>
  <si>
    <t>최저매각가</t>
    <phoneticPr fontId="1" type="noConversion"/>
  </si>
  <si>
    <t>입찰가</t>
    <phoneticPr fontId="1" type="noConversion"/>
  </si>
  <si>
    <t>입찰가</t>
  </si>
  <si>
    <t>입찰일자</t>
    <phoneticPr fontId="1" type="noConversion"/>
  </si>
  <si>
    <t>법원</t>
  </si>
  <si>
    <t>법원</t>
    <phoneticPr fontId="1" type="noConversion"/>
  </si>
  <si>
    <t>물건번호</t>
    <phoneticPr fontId="1" type="noConversion"/>
  </si>
  <si>
    <t>주소</t>
    <phoneticPr fontId="1" type="noConversion"/>
  </si>
  <si>
    <t>입찰가</t>
    <phoneticPr fontId="1" type="noConversion"/>
  </si>
  <si>
    <t>보증금</t>
    <phoneticPr fontId="1" type="noConversion"/>
  </si>
  <si>
    <t>최저매각가</t>
    <phoneticPr fontId="1" type="noConversion"/>
  </si>
  <si>
    <t>진행비</t>
    <phoneticPr fontId="1" type="noConversion"/>
  </si>
  <si>
    <t>총 입금요청액</t>
    <phoneticPr fontId="1" type="noConversion"/>
  </si>
  <si>
    <t>입찰가+진행비</t>
    <phoneticPr fontId="1" type="noConversion"/>
  </si>
  <si>
    <t>입찰대리인</t>
    <phoneticPr fontId="1" type="noConversion"/>
  </si>
  <si>
    <t>인증방식</t>
    <phoneticPr fontId="1" type="noConversion"/>
  </si>
  <si>
    <t>종이/전자</t>
    <phoneticPr fontId="1" type="noConversion"/>
  </si>
  <si>
    <t>건물면적</t>
    <phoneticPr fontId="1" type="noConversion"/>
  </si>
  <si>
    <t>동</t>
    <phoneticPr fontId="1" type="noConversion"/>
  </si>
  <si>
    <t xml:space="preserve"> 비율</t>
    <phoneticPr fontId="1" type="noConversion"/>
  </si>
  <si>
    <t>최저매각가대비비 입찰가</t>
    <phoneticPr fontId="1" type="noConversion"/>
  </si>
  <si>
    <t>진행상태</t>
    <phoneticPr fontId="1" type="noConversion"/>
  </si>
  <si>
    <t>감정가</t>
    <phoneticPr fontId="1" type="noConversion"/>
  </si>
  <si>
    <t>회원</t>
    <phoneticPr fontId="1" type="noConversion"/>
  </si>
  <si>
    <t>명의</t>
    <phoneticPr fontId="1" type="noConversion"/>
  </si>
  <si>
    <t>[엠제이경매스쿨] 출장비 요율표</t>
    <phoneticPr fontId="12" type="noConversion"/>
  </si>
  <si>
    <t>1인기준</t>
  </si>
  <si>
    <t>2인(70%)</t>
  </si>
  <si>
    <t>3인(50%)</t>
  </si>
  <si>
    <t>4인(40%)</t>
  </si>
  <si>
    <t>차량감가</t>
  </si>
  <si>
    <t>입찰진행비</t>
  </si>
  <si>
    <t>부산본원,서부,동부는 
거리별로인하여금액측정이 아닌
 소요되는 시간등을 포함하여
측정된 금액입니다.
많은 물건을 입찰 하거나
 해당입찰장의 여러건일 경우는 
상황에따라 금액을 조율이 가능합니다.</t>
  </si>
  <si>
    <t>서울</t>
  </si>
  <si>
    <t>본원</t>
  </si>
  <si>
    <r>
      <t>&lt;부산, 경상권&gt;
1개입찰 : 8만원</t>
    </r>
    <r>
      <rPr>
        <sz val="10"/>
        <color rgb="FFFFFFFF"/>
        <rFont val="맑은 고딕"/>
        <family val="3"/>
        <charset val="129"/>
      </rPr>
      <t xml:space="preserve">.....................
</t>
    </r>
    <r>
      <rPr>
        <sz val="10"/>
        <color rgb="FF000000"/>
        <rFont val="맑은 고딕"/>
        <family val="3"/>
        <charset val="129"/>
      </rPr>
      <t>추가입찰 : 건당 6만원 추가
(ex : 2건-14만, 3건-20만)</t>
    </r>
  </si>
  <si>
    <t>동부</t>
  </si>
  <si>
    <t>서부</t>
  </si>
  <si>
    <t>남부</t>
  </si>
  <si>
    <t>북부</t>
  </si>
  <si>
    <t>의정부</t>
  </si>
  <si>
    <r>
      <t>&lt;그외지역&gt;
1개입찰 : 8만원</t>
    </r>
    <r>
      <rPr>
        <sz val="10"/>
        <color rgb="FFFFFFFF"/>
        <rFont val="맑은 고딕"/>
        <family val="3"/>
        <charset val="129"/>
      </rPr>
      <t xml:space="preserve">............ 
</t>
    </r>
    <r>
      <rPr>
        <sz val="10"/>
        <color rgb="FF000000"/>
        <rFont val="맑은 고딕"/>
        <family val="3"/>
        <charset val="129"/>
      </rPr>
      <t>2건입찰 : 7만원 추가
3건이상 : 6만원 추가
(ex : 2건-14만, 3건-21만
       4건-27만, 5건-33만)</t>
    </r>
  </si>
  <si>
    <t>고양</t>
  </si>
  <si>
    <t>남양주</t>
  </si>
  <si>
    <t>인천</t>
  </si>
  <si>
    <t>부천</t>
  </si>
  <si>
    <t>수원</t>
  </si>
  <si>
    <t>안양</t>
  </si>
  <si>
    <t>성남</t>
  </si>
  <si>
    <t>안산</t>
  </si>
  <si>
    <t>평택</t>
  </si>
  <si>
    <t>여주</t>
  </si>
  <si>
    <t>춘천</t>
  </si>
  <si>
    <t>속초</t>
  </si>
  <si>
    <t>원주</t>
  </si>
  <si>
    <t>강릉</t>
  </si>
  <si>
    <t>영월</t>
  </si>
  <si>
    <t>청주</t>
  </si>
  <si>
    <t>제천</t>
  </si>
  <si>
    <t>충주</t>
  </si>
  <si>
    <t>영동</t>
  </si>
  <si>
    <t>대전</t>
  </si>
  <si>
    <t>논산</t>
  </si>
  <si>
    <t>공주</t>
  </si>
  <si>
    <t>천안</t>
  </si>
  <si>
    <t>홍성</t>
  </si>
  <si>
    <t>서산</t>
  </si>
  <si>
    <t>대구</t>
  </si>
  <si>
    <t>안동</t>
  </si>
  <si>
    <t>상주</t>
  </si>
  <si>
    <t>영덕</t>
  </si>
  <si>
    <t>의성</t>
  </si>
  <si>
    <t>김천</t>
  </si>
  <si>
    <t>포항</t>
  </si>
  <si>
    <t>경주</t>
  </si>
  <si>
    <t>부산</t>
  </si>
  <si>
    <t>울산</t>
  </si>
  <si>
    <t>창원</t>
  </si>
  <si>
    <t>마산</t>
  </si>
  <si>
    <t>진주</t>
  </si>
  <si>
    <t>통영</t>
  </si>
  <si>
    <t>밀양</t>
  </si>
  <si>
    <t>거창</t>
  </si>
  <si>
    <t>광주</t>
  </si>
  <si>
    <t>목포</t>
  </si>
  <si>
    <t>장흥</t>
  </si>
  <si>
    <t>순천</t>
  </si>
  <si>
    <t>해남</t>
  </si>
  <si>
    <t>전주</t>
  </si>
  <si>
    <t>군산</t>
  </si>
  <si>
    <t>정읍</t>
  </si>
  <si>
    <t>남원</t>
  </si>
  <si>
    <t>제주</t>
  </si>
  <si>
    <t>향</t>
    <phoneticPr fontId="1" type="noConversion"/>
  </si>
  <si>
    <t>다물건비고</t>
    <phoneticPr fontId="1" type="noConversion"/>
  </si>
  <si>
    <t>사건번호</t>
    <phoneticPr fontId="1" type="noConversion"/>
  </si>
  <si>
    <t>in-date</t>
  </si>
  <si>
    <t>court</t>
  </si>
  <si>
    <t>sakun_no</t>
  </si>
  <si>
    <t>stu_member</t>
  </si>
  <si>
    <t>신규 컬럼생성 필요</t>
    <phoneticPr fontId="1" type="noConversion"/>
  </si>
  <si>
    <t>lowest_price</t>
  </si>
  <si>
    <t>최저가</t>
    <phoneticPr fontId="1" type="noConversion"/>
  </si>
  <si>
    <t>deposit</t>
  </si>
  <si>
    <t>등급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</si>
</sst>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-* #,##0_-;\-* #,##0_-;_-* &quot;-&quot;_-;_-@_-"/>
    <numFmt numFmtId="176" formatCode="#,##0_ "/>
  </numFmts>
  <fonts count="1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trike/>
      <sz val="10"/>
      <color rgb="FFFF000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12"/>
      <color rgb="FF000000"/>
      <name val="HY헤드라인M"/>
      <family val="1"/>
      <charset val="129"/>
    </font>
    <font>
      <sz val="8"/>
      <name val="돋움"/>
      <family val="3"/>
      <charset val="129"/>
    </font>
    <font>
      <sz val="10"/>
      <color rgb="FF000000"/>
      <name val="맑은 고딕"/>
      <family val="3"/>
      <charset val="129"/>
    </font>
    <font>
      <b/>
      <sz val="18"/>
      <color rgb="FF000000"/>
      <name val="맑은 고딕"/>
      <family val="3"/>
      <charset val="129"/>
    </font>
    <font>
      <sz val="10"/>
      <color rgb="FFFFFFFF"/>
      <name val="맑은 고딕"/>
      <family val="3"/>
      <charset val="129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4ADF21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4E5B2"/>
        <bgColor indexed="64"/>
      </patternFill>
    </fill>
    <fill>
      <patternFill patternType="solid">
        <fgColor rgb="FFFFC00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9" fillId="0" borderId="0">
      <alignment vertical="center"/>
    </xf>
  </cellStyleXfs>
  <cellXfs count="121"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41" fontId="4" fillId="0" borderId="1" xfId="1" applyFont="1" applyFill="1" applyBorder="1" applyAlignment="1">
      <alignment horizontal="center" vertical="center"/>
    </xf>
    <xf numFmtId="41" fontId="4" fillId="0" borderId="0" xfId="1" applyFont="1" applyFill="1" applyAlignment="1">
      <alignment horizontal="center" vertical="center"/>
    </xf>
    <xf numFmtId="41" fontId="4" fillId="0" borderId="0" xfId="1" applyFont="1" applyFill="1">
      <alignment vertical="center"/>
    </xf>
    <xf numFmtId="0" fontId="4" fillId="0" borderId="0" xfId="0" applyFont="1" applyFill="1">
      <alignment vertical="center"/>
    </xf>
    <xf numFmtId="0" fontId="4" fillId="0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0" borderId="0" xfId="0" applyFont="1" applyFill="1" applyAlignment="1">
      <alignment horizontal="left" vertical="center"/>
    </xf>
    <xf numFmtId="0" fontId="4" fillId="0" borderId="0" xfId="0" applyFont="1" applyFill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3" xfId="0" applyNumberFormat="1" applyFont="1" applyFill="1" applyBorder="1" applyAlignment="1">
      <alignment horizontal="center" vertical="center"/>
    </xf>
    <xf numFmtId="41" fontId="4" fillId="0" borderId="3" xfId="1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/>
    </xf>
    <xf numFmtId="41" fontId="4" fillId="0" borderId="8" xfId="1" applyFont="1" applyFill="1" applyBorder="1" applyAlignment="1">
      <alignment horizontal="center" vertical="center"/>
    </xf>
    <xf numFmtId="0" fontId="4" fillId="0" borderId="9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41" fontId="4" fillId="3" borderId="11" xfId="1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/>
    </xf>
    <xf numFmtId="0" fontId="7" fillId="0" borderId="8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4" fillId="6" borderId="8" xfId="0" applyFont="1" applyFill="1" applyBorder="1" applyAlignment="1">
      <alignment horizontal="center" vertical="center"/>
    </xf>
    <xf numFmtId="0" fontId="4" fillId="0" borderId="8" xfId="0" applyNumberFormat="1" applyFont="1" applyFill="1" applyBorder="1" applyAlignment="1">
      <alignment horizontal="center" vertical="center"/>
    </xf>
    <xf numFmtId="0" fontId="4" fillId="0" borderId="13" xfId="0" applyFont="1" applyFill="1" applyBorder="1" applyAlignment="1">
      <alignment horizontal="center" vertical="center"/>
    </xf>
    <xf numFmtId="0" fontId="4" fillId="0" borderId="14" xfId="0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0" fontId="4" fillId="0" borderId="15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0" fontId="4" fillId="0" borderId="16" xfId="0" applyFont="1" applyFill="1" applyBorder="1" applyAlignment="1">
      <alignment horizontal="center" vertical="center"/>
    </xf>
    <xf numFmtId="0" fontId="4" fillId="4" borderId="16" xfId="0" applyFont="1" applyFill="1" applyBorder="1" applyAlignment="1">
      <alignment horizontal="center" vertical="center"/>
    </xf>
    <xf numFmtId="41" fontId="4" fillId="0" borderId="16" xfId="1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4" fillId="0" borderId="19" xfId="0" applyFont="1" applyFill="1" applyBorder="1" applyAlignment="1">
      <alignment horizontal="center" vertical="center"/>
    </xf>
    <xf numFmtId="0" fontId="4" fillId="0" borderId="18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1" fontId="4" fillId="0" borderId="0" xfId="1" applyFont="1" applyFill="1" applyBorder="1" applyAlignment="1">
      <alignment horizontal="center" vertical="center"/>
    </xf>
    <xf numFmtId="41" fontId="4" fillId="0" borderId="0" xfId="1" applyFont="1" applyBorder="1" applyAlignment="1">
      <alignment horizontal="center" vertical="center"/>
    </xf>
    <xf numFmtId="41" fontId="4" fillId="0" borderId="0" xfId="1" applyFont="1" applyFill="1" applyBorder="1">
      <alignment vertical="center"/>
    </xf>
    <xf numFmtId="41" fontId="4" fillId="0" borderId="0" xfId="0" applyNumberFormat="1" applyFont="1" applyFill="1">
      <alignment vertical="center"/>
    </xf>
    <xf numFmtId="0" fontId="3" fillId="0" borderId="0" xfId="0" applyFont="1" applyAlignment="1">
      <alignment horizontal="left" vertical="center"/>
    </xf>
    <xf numFmtId="41" fontId="4" fillId="0" borderId="0" xfId="1" applyFont="1" applyAlignment="1">
      <alignment horizontal="center" vertical="center"/>
    </xf>
    <xf numFmtId="41" fontId="4" fillId="0" borderId="0" xfId="1" applyFont="1">
      <alignment vertical="center"/>
    </xf>
    <xf numFmtId="0" fontId="4" fillId="0" borderId="0" xfId="0" applyFont="1">
      <alignment vertical="center"/>
    </xf>
    <xf numFmtId="41" fontId="4" fillId="5" borderId="1" xfId="1" applyFont="1" applyFill="1" applyBorder="1" applyAlignment="1">
      <alignment horizontal="center" vertical="center"/>
    </xf>
    <xf numFmtId="0" fontId="4" fillId="0" borderId="1" xfId="1" applyNumberFormat="1" applyFont="1" applyFill="1" applyBorder="1" applyAlignment="1">
      <alignment horizontal="center" vertical="center"/>
    </xf>
    <xf numFmtId="3" fontId="4" fillId="0" borderId="0" xfId="0" applyNumberFormat="1" applyFont="1" applyFill="1" applyAlignment="1">
      <alignment horizontal="center" vertical="center"/>
    </xf>
    <xf numFmtId="41" fontId="4" fillId="0" borderId="0" xfId="0" applyNumberFormat="1" applyFont="1" applyFill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41" fontId="4" fillId="2" borderId="3" xfId="1" applyFont="1" applyFill="1" applyBorder="1" applyAlignment="1">
      <alignment horizontal="center" vertical="center"/>
    </xf>
    <xf numFmtId="41" fontId="4" fillId="2" borderId="1" xfId="1" applyFont="1" applyFill="1" applyBorder="1" applyAlignment="1">
      <alignment horizontal="center" vertical="center"/>
    </xf>
    <xf numFmtId="0" fontId="7" fillId="2" borderId="16" xfId="0" applyFont="1" applyFill="1" applyBorder="1" applyAlignment="1">
      <alignment horizontal="center" vertical="center"/>
    </xf>
    <xf numFmtId="41" fontId="4" fillId="2" borderId="0" xfId="1" applyFont="1" applyFill="1">
      <alignment vertical="center"/>
    </xf>
    <xf numFmtId="41" fontId="4" fillId="2" borderId="0" xfId="0" applyNumberFormat="1" applyFont="1" applyFill="1">
      <alignment vertical="center"/>
    </xf>
    <xf numFmtId="41" fontId="4" fillId="2" borderId="0" xfId="1" applyFont="1" applyFill="1" applyAlignment="1">
      <alignment horizontal="center" vertical="center"/>
    </xf>
    <xf numFmtId="0" fontId="4" fillId="3" borderId="20" xfId="0" applyFont="1" applyFill="1" applyBorder="1" applyAlignment="1">
      <alignment horizontal="center" vertical="center"/>
    </xf>
    <xf numFmtId="0" fontId="7" fillId="2" borderId="21" xfId="0" applyFont="1" applyFill="1" applyBorder="1" applyAlignment="1">
      <alignment horizontal="center" vertical="center"/>
    </xf>
    <xf numFmtId="0" fontId="7" fillId="2" borderId="22" xfId="0" applyFont="1" applyFill="1" applyBorder="1" applyAlignment="1">
      <alignment horizontal="center" vertical="center"/>
    </xf>
    <xf numFmtId="0" fontId="7" fillId="2" borderId="23" xfId="0" applyFont="1" applyFill="1" applyBorder="1" applyAlignment="1">
      <alignment horizontal="center" vertical="center"/>
    </xf>
    <xf numFmtId="0" fontId="7" fillId="2" borderId="24" xfId="0" applyFont="1" applyFill="1" applyBorder="1" applyAlignment="1">
      <alignment horizontal="center" vertical="center"/>
    </xf>
    <xf numFmtId="0" fontId="7" fillId="0" borderId="21" xfId="0" applyFont="1" applyFill="1" applyBorder="1" applyAlignment="1">
      <alignment horizontal="center" vertical="center"/>
    </xf>
    <xf numFmtId="0" fontId="7" fillId="0" borderId="23" xfId="0" applyFont="1" applyFill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22" xfId="0" applyFont="1" applyFill="1" applyBorder="1" applyAlignment="1">
      <alignment horizontal="center" vertical="center"/>
    </xf>
    <xf numFmtId="0" fontId="4" fillId="3" borderId="25" xfId="0" applyFont="1" applyFill="1" applyBorder="1" applyAlignment="1">
      <alignment horizontal="center" vertical="center"/>
    </xf>
    <xf numFmtId="0" fontId="4" fillId="0" borderId="26" xfId="0" applyFont="1" applyFill="1" applyBorder="1" applyAlignment="1">
      <alignment horizontal="center" vertical="center"/>
    </xf>
    <xf numFmtId="0" fontId="4" fillId="0" borderId="27" xfId="0" applyFont="1" applyFill="1" applyBorder="1" applyAlignment="1">
      <alignment horizontal="center" vertical="center"/>
    </xf>
    <xf numFmtId="0" fontId="4" fillId="0" borderId="28" xfId="0" applyFont="1" applyFill="1" applyBorder="1" applyAlignment="1">
      <alignment horizontal="center" vertical="center"/>
    </xf>
    <xf numFmtId="0" fontId="4" fillId="0" borderId="29" xfId="0" applyFont="1" applyFill="1" applyBorder="1" applyAlignment="1">
      <alignment horizontal="center" vertical="center"/>
    </xf>
    <xf numFmtId="0" fontId="8" fillId="2" borderId="30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4" fillId="0" borderId="0" xfId="0" applyFont="1" applyBorder="1">
      <alignment vertical="center"/>
    </xf>
    <xf numFmtId="0" fontId="4" fillId="0" borderId="0" xfId="0" applyFont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4" fillId="0" borderId="0" xfId="0" applyFont="1" applyBorder="1" applyAlignment="1">
      <alignment vertical="center" wrapText="1"/>
    </xf>
    <xf numFmtId="0" fontId="11" fillId="0" borderId="32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29" xfId="0" applyFont="1" applyBorder="1" applyAlignment="1">
      <alignment horizontal="center" vertical="center"/>
    </xf>
    <xf numFmtId="0" fontId="13" fillId="0" borderId="16" xfId="0" applyFont="1" applyBorder="1" applyAlignment="1">
      <alignment horizontal="center" vertical="center" wrapText="1"/>
    </xf>
    <xf numFmtId="0" fontId="13" fillId="0" borderId="16" xfId="0" applyFont="1" applyBorder="1" applyAlignment="1">
      <alignment horizontal="center" vertical="center"/>
    </xf>
    <xf numFmtId="0" fontId="13" fillId="7" borderId="1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176" fontId="13" fillId="0" borderId="1" xfId="0" applyNumberFormat="1" applyFont="1" applyBorder="1" applyAlignment="1">
      <alignment horizontal="right" vertical="center"/>
    </xf>
    <xf numFmtId="176" fontId="13" fillId="0" borderId="31" xfId="0" applyNumberFormat="1" applyFont="1" applyBorder="1" applyAlignment="1">
      <alignment horizontal="center" vertical="center" wrapText="1"/>
    </xf>
    <xf numFmtId="0" fontId="13" fillId="9" borderId="1" xfId="0" applyFont="1" applyFill="1" applyBorder="1" applyAlignment="1">
      <alignment horizontal="center" vertical="center"/>
    </xf>
    <xf numFmtId="0" fontId="13" fillId="9" borderId="1" xfId="0" applyFont="1" applyFill="1" applyBorder="1" applyAlignment="1">
      <alignment horizontal="center" vertical="center"/>
    </xf>
    <xf numFmtId="176" fontId="13" fillId="9" borderId="1" xfId="0" applyNumberFormat="1" applyFont="1" applyFill="1" applyBorder="1" applyAlignment="1">
      <alignment horizontal="right" vertical="center"/>
    </xf>
    <xf numFmtId="176" fontId="13" fillId="0" borderId="16" xfId="0" applyNumberFormat="1" applyFont="1" applyBorder="1" applyAlignment="1">
      <alignment horizontal="center" vertical="center" wrapText="1"/>
    </xf>
    <xf numFmtId="176" fontId="13" fillId="0" borderId="33" xfId="0" applyNumberFormat="1" applyFont="1" applyBorder="1" applyAlignment="1">
      <alignment horizontal="center" vertical="center" wrapText="1"/>
    </xf>
    <xf numFmtId="176" fontId="13" fillId="0" borderId="31" xfId="0" applyNumberFormat="1" applyFont="1" applyBorder="1">
      <alignment vertical="center"/>
    </xf>
    <xf numFmtId="176" fontId="10" fillId="7" borderId="1" xfId="0" applyNumberFormat="1" applyFont="1" applyFill="1" applyBorder="1" applyAlignment="1">
      <alignment horizontal="right" vertical="center"/>
    </xf>
    <xf numFmtId="176" fontId="10" fillId="0" borderId="1" xfId="0" applyNumberFormat="1" applyFont="1" applyBorder="1" applyAlignment="1">
      <alignment horizontal="right" vertical="center"/>
    </xf>
    <xf numFmtId="176" fontId="13" fillId="0" borderId="33" xfId="0" applyNumberFormat="1" applyFont="1" applyBorder="1">
      <alignment vertical="center"/>
    </xf>
    <xf numFmtId="0" fontId="0" fillId="0" borderId="0" xfId="0" applyAlignment="1">
      <alignment horizontal="center" vertical="center"/>
    </xf>
    <xf numFmtId="0" fontId="4" fillId="0" borderId="1" xfId="0" applyFont="1" applyFill="1" applyBorder="1" applyAlignment="1">
      <alignment vertical="center" wrapText="1"/>
    </xf>
    <xf numFmtId="0" fontId="4" fillId="10" borderId="1" xfId="0" applyFont="1" applyFill="1" applyBorder="1" applyAlignment="1">
      <alignment vertical="center" wrapText="1"/>
    </xf>
    <xf numFmtId="0" fontId="16" fillId="0" borderId="0" xfId="0" applyFont="1">
      <alignment vertical="center"/>
    </xf>
    <xf numFmtId="0" fontId="17" fillId="0" borderId="0" xfId="0" applyFont="1">
      <alignment vertical="center"/>
    </xf>
  </cellXfs>
  <cellStyles count="3">
    <cellStyle name="쉼표 [0]" xfId="1" builtinId="6"/>
    <cellStyle name="표준" xfId="0" builtinId="0"/>
    <cellStyle name="표준 4" xfId="2"/>
  </cellStyles>
  <dxfs count="4">
    <dxf>
      <font>
        <b/>
        <i val="0"/>
        <color rgb="FFFF0000"/>
      </font>
    </dxf>
    <dxf>
      <font>
        <b/>
        <i val="0"/>
        <color rgb="FFFF0000"/>
      </font>
    </dxf>
    <dxf>
      <fill>
        <patternFill>
          <bgColor rgb="FFD9D9D9"/>
        </patternFill>
      </fill>
    </dxf>
    <dxf>
      <fill>
        <patternFill>
          <bgColor rgb="FFD9D9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6"/>
  <sheetViews>
    <sheetView tabSelected="1" zoomScale="85" zoomScaleNormal="85" workbookViewId="0">
      <selection activeCell="Q12" sqref="Q12"/>
    </sheetView>
  </sheetViews>
  <sheetFormatPr defaultRowHeight="13.5" x14ac:dyDescent="0.3"/>
  <cols>
    <col min="1" max="1" width="6.5" style="90" customWidth="1"/>
    <col min="2" max="2" width="9" style="90"/>
    <col min="3" max="3" width="16.375" style="90" bestFit="1" customWidth="1"/>
    <col min="4" max="9" width="9" style="90"/>
    <col min="10" max="10" width="10.625" style="90" customWidth="1"/>
    <col min="11" max="11" width="9.25" style="90" customWidth="1"/>
    <col min="12" max="15" width="9" style="90"/>
    <col min="16" max="16" width="11" style="90" bestFit="1" customWidth="1"/>
    <col min="17" max="17" width="11" style="90" customWidth="1"/>
    <col min="18" max="18" width="14.625" style="90" customWidth="1"/>
    <col min="19" max="20" width="9" style="90"/>
    <col min="21" max="21" width="14.125" style="90" customWidth="1"/>
    <col min="22" max="23" width="9" style="90"/>
    <col min="24" max="24" width="11.625" style="90" customWidth="1"/>
    <col min="25" max="16384" width="9" style="90"/>
  </cols>
  <sheetData>
    <row r="1" spans="1:24" s="91" customFormat="1" x14ac:dyDescent="0.3">
      <c r="A1" s="89" t="s">
        <v>0</v>
      </c>
      <c r="B1" s="65" t="s">
        <v>76</v>
      </c>
      <c r="C1" s="65" t="s">
        <v>78</v>
      </c>
      <c r="D1" s="65" t="s">
        <v>2</v>
      </c>
      <c r="E1" s="65" t="s">
        <v>79</v>
      </c>
      <c r="F1" s="65" t="s">
        <v>94</v>
      </c>
      <c r="G1" s="65" t="s">
        <v>96</v>
      </c>
      <c r="H1" s="65" t="s">
        <v>97</v>
      </c>
      <c r="I1" s="65" t="s">
        <v>177</v>
      </c>
      <c r="J1" s="65" t="s">
        <v>80</v>
      </c>
      <c r="K1" s="65" t="s">
        <v>91</v>
      </c>
      <c r="L1" s="65" t="s">
        <v>4</v>
      </c>
      <c r="M1" s="65" t="s">
        <v>166</v>
      </c>
      <c r="N1" s="65" t="s">
        <v>90</v>
      </c>
      <c r="O1" s="65" t="s">
        <v>95</v>
      </c>
      <c r="P1" s="65" t="s">
        <v>83</v>
      </c>
      <c r="Q1" s="89" t="s">
        <v>81</v>
      </c>
      <c r="R1" s="89" t="s">
        <v>92</v>
      </c>
      <c r="S1" s="65" t="s">
        <v>82</v>
      </c>
      <c r="T1" s="89" t="s">
        <v>84</v>
      </c>
      <c r="U1" s="89" t="s">
        <v>85</v>
      </c>
      <c r="V1" s="89" t="s">
        <v>87</v>
      </c>
      <c r="W1" s="89" t="s">
        <v>88</v>
      </c>
      <c r="X1" s="89" t="s">
        <v>167</v>
      </c>
    </row>
    <row r="2" spans="1:24" s="93" customFormat="1" ht="39" customHeight="1" x14ac:dyDescent="0.3">
      <c r="A2" s="92"/>
      <c r="B2" s="117"/>
      <c r="C2" s="117"/>
      <c r="D2" s="117"/>
      <c r="E2" s="117"/>
      <c r="F2" s="92"/>
      <c r="G2" s="92"/>
      <c r="H2" s="92"/>
      <c r="I2" s="92"/>
      <c r="J2" s="118"/>
      <c r="K2" s="92"/>
      <c r="L2" s="92"/>
      <c r="M2" s="92"/>
      <c r="N2" s="118"/>
      <c r="O2" s="92"/>
      <c r="P2" s="92"/>
      <c r="Q2" s="92"/>
      <c r="R2" s="92" t="s">
        <v>93</v>
      </c>
      <c r="S2" s="117"/>
      <c r="T2" s="118"/>
      <c r="U2" s="92" t="s">
        <v>86</v>
      </c>
      <c r="V2" s="118"/>
      <c r="W2" s="118" t="s">
        <v>89</v>
      </c>
      <c r="X2" s="118"/>
    </row>
    <row r="9" spans="1:24" x14ac:dyDescent="0.3">
      <c r="B9" s="90" t="s">
        <v>76</v>
      </c>
      <c r="C9" s="119" t="s">
        <v>169</v>
      </c>
    </row>
    <row r="10" spans="1:24" x14ac:dyDescent="0.3">
      <c r="B10" s="90" t="s">
        <v>78</v>
      </c>
      <c r="C10" s="119" t="s">
        <v>170</v>
      </c>
    </row>
    <row r="11" spans="1:24" x14ac:dyDescent="0.3">
      <c r="B11" s="90" t="s">
        <v>168</v>
      </c>
      <c r="C11" s="119" t="s">
        <v>171</v>
      </c>
    </row>
    <row r="12" spans="1:24" x14ac:dyDescent="0.3">
      <c r="B12" s="90" t="s">
        <v>94</v>
      </c>
      <c r="C12" s="119" t="s">
        <v>172</v>
      </c>
    </row>
    <row r="13" spans="1:24" x14ac:dyDescent="0.3">
      <c r="B13" s="90" t="s">
        <v>80</v>
      </c>
      <c r="C13" s="90" t="s">
        <v>173</v>
      </c>
    </row>
    <row r="14" spans="1:24" x14ac:dyDescent="0.3">
      <c r="B14" s="90" t="s">
        <v>90</v>
      </c>
      <c r="C14" s="90" t="s">
        <v>173</v>
      </c>
    </row>
    <row r="15" spans="1:24" x14ac:dyDescent="0.3">
      <c r="B15" s="90" t="s">
        <v>175</v>
      </c>
      <c r="C15" s="120" t="s">
        <v>174</v>
      </c>
    </row>
    <row r="16" spans="1:24" x14ac:dyDescent="0.3">
      <c r="B16" s="90" t="s">
        <v>82</v>
      </c>
      <c r="C16" s="120" t="s">
        <v>176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5"/>
  <sheetViews>
    <sheetView workbookViewId="0">
      <selection activeCell="P62" sqref="A1:P62"/>
    </sheetView>
  </sheetViews>
  <sheetFormatPr defaultColWidth="9" defaultRowHeight="16.5" x14ac:dyDescent="0.3"/>
  <cols>
    <col min="1" max="1" width="7.625" style="116" customWidth="1"/>
    <col min="2" max="2" width="8" style="116" customWidth="1"/>
    <col min="3" max="4" width="10" customWidth="1"/>
    <col min="5" max="5" width="10.625" customWidth="1"/>
    <col min="6" max="6" width="9.875" bestFit="1" customWidth="1"/>
    <col min="7" max="7" width="9.625" customWidth="1"/>
    <col min="8" max="8" width="21.875" bestFit="1" customWidth="1"/>
    <col min="10" max="10" width="12.375" customWidth="1"/>
    <col min="11" max="11" width="8.5" customWidth="1"/>
    <col min="14" max="14" width="9.375" bestFit="1" customWidth="1"/>
    <col min="15" max="15" width="9.375" customWidth="1"/>
  </cols>
  <sheetData>
    <row r="1" spans="1:16" ht="21.75" customHeight="1" x14ac:dyDescent="0.3">
      <c r="A1" s="94" t="s">
        <v>98</v>
      </c>
      <c r="B1" s="94"/>
      <c r="C1" s="94"/>
      <c r="D1" s="94"/>
      <c r="E1" s="94"/>
      <c r="F1" s="94"/>
      <c r="G1" s="95"/>
      <c r="H1" s="95"/>
    </row>
    <row r="2" spans="1:16" ht="15" customHeight="1" x14ac:dyDescent="0.3">
      <c r="A2" s="96" t="s">
        <v>77</v>
      </c>
      <c r="B2" s="97"/>
      <c r="C2" s="98" t="s">
        <v>99</v>
      </c>
      <c r="D2" s="99" t="s">
        <v>100</v>
      </c>
      <c r="E2" s="99" t="s">
        <v>101</v>
      </c>
      <c r="F2" s="99" t="s">
        <v>102</v>
      </c>
      <c r="G2" s="100" t="s">
        <v>103</v>
      </c>
      <c r="H2" s="101" t="s">
        <v>104</v>
      </c>
      <c r="I2" s="102" t="s">
        <v>105</v>
      </c>
      <c r="J2" s="102"/>
      <c r="K2" s="102"/>
      <c r="L2" s="102"/>
      <c r="M2" s="102"/>
      <c r="N2" s="102"/>
      <c r="O2" s="102"/>
      <c r="P2" s="102"/>
    </row>
    <row r="3" spans="1:16" ht="15" customHeight="1" x14ac:dyDescent="0.3">
      <c r="A3" s="103" t="s">
        <v>106</v>
      </c>
      <c r="B3" s="104" t="s">
        <v>107</v>
      </c>
      <c r="C3" s="105">
        <v>280000</v>
      </c>
      <c r="D3" s="105">
        <f>C3*0.7</f>
        <v>196000</v>
      </c>
      <c r="E3" s="105">
        <f>C3*0.5</f>
        <v>140000</v>
      </c>
      <c r="F3" s="105">
        <f>C3*0.4</f>
        <v>112000</v>
      </c>
      <c r="G3" s="105">
        <f>C3*0.2</f>
        <v>56000</v>
      </c>
      <c r="H3" s="106" t="s">
        <v>108</v>
      </c>
      <c r="I3" s="102"/>
      <c r="J3" s="102"/>
      <c r="K3" s="102"/>
      <c r="L3" s="102"/>
      <c r="M3" s="102"/>
      <c r="N3" s="102"/>
      <c r="O3" s="102"/>
      <c r="P3" s="102"/>
    </row>
    <row r="4" spans="1:16" ht="15" customHeight="1" x14ac:dyDescent="0.3">
      <c r="A4" s="103"/>
      <c r="B4" s="104" t="s">
        <v>109</v>
      </c>
      <c r="C4" s="105">
        <v>280000</v>
      </c>
      <c r="D4" s="105">
        <f t="shared" ref="D4:D62" si="0">C4*0.7</f>
        <v>196000</v>
      </c>
      <c r="E4" s="105">
        <f t="shared" ref="E4:E62" si="1">C4*0.5</f>
        <v>140000</v>
      </c>
      <c r="F4" s="105">
        <f t="shared" ref="F4:F62" si="2">C4*0.4</f>
        <v>112000</v>
      </c>
      <c r="G4" s="105">
        <f t="shared" ref="G4:G42" si="3">C4*0.2</f>
        <v>56000</v>
      </c>
      <c r="H4" s="106"/>
      <c r="I4" s="102"/>
      <c r="J4" s="102"/>
      <c r="K4" s="102"/>
      <c r="L4" s="102"/>
      <c r="M4" s="102"/>
      <c r="N4" s="102"/>
      <c r="O4" s="102"/>
      <c r="P4" s="102"/>
    </row>
    <row r="5" spans="1:16" ht="15" customHeight="1" x14ac:dyDescent="0.3">
      <c r="A5" s="103"/>
      <c r="B5" s="104" t="s">
        <v>110</v>
      </c>
      <c r="C5" s="105">
        <v>280000</v>
      </c>
      <c r="D5" s="105">
        <f t="shared" si="0"/>
        <v>196000</v>
      </c>
      <c r="E5" s="105">
        <f t="shared" si="1"/>
        <v>140000</v>
      </c>
      <c r="F5" s="105">
        <f t="shared" si="2"/>
        <v>112000</v>
      </c>
      <c r="G5" s="105">
        <f t="shared" si="3"/>
        <v>56000</v>
      </c>
      <c r="H5" s="106"/>
      <c r="I5" s="102"/>
      <c r="J5" s="102"/>
      <c r="K5" s="102"/>
      <c r="L5" s="102"/>
      <c r="M5" s="102"/>
      <c r="N5" s="102"/>
      <c r="O5" s="102"/>
      <c r="P5" s="102"/>
    </row>
    <row r="6" spans="1:16" ht="15" customHeight="1" x14ac:dyDescent="0.3">
      <c r="A6" s="103"/>
      <c r="B6" s="104" t="s">
        <v>111</v>
      </c>
      <c r="C6" s="105">
        <v>280000</v>
      </c>
      <c r="D6" s="105">
        <f t="shared" si="0"/>
        <v>196000</v>
      </c>
      <c r="E6" s="105">
        <f t="shared" si="1"/>
        <v>140000</v>
      </c>
      <c r="F6" s="105">
        <f t="shared" si="2"/>
        <v>112000</v>
      </c>
      <c r="G6" s="105">
        <f t="shared" si="3"/>
        <v>56000</v>
      </c>
      <c r="H6" s="106"/>
      <c r="I6" s="102"/>
      <c r="J6" s="102"/>
      <c r="K6" s="102"/>
      <c r="L6" s="102"/>
      <c r="M6" s="102"/>
      <c r="N6" s="102"/>
      <c r="O6" s="102"/>
      <c r="P6" s="102"/>
    </row>
    <row r="7" spans="1:16" ht="15" customHeight="1" x14ac:dyDescent="0.3">
      <c r="A7" s="103"/>
      <c r="B7" s="104" t="s">
        <v>112</v>
      </c>
      <c r="C7" s="105">
        <v>280000</v>
      </c>
      <c r="D7" s="105">
        <f t="shared" si="0"/>
        <v>196000</v>
      </c>
      <c r="E7" s="105">
        <f t="shared" si="1"/>
        <v>140000</v>
      </c>
      <c r="F7" s="105">
        <f t="shared" si="2"/>
        <v>112000</v>
      </c>
      <c r="G7" s="105">
        <f t="shared" si="3"/>
        <v>56000</v>
      </c>
      <c r="H7" s="106"/>
      <c r="I7" s="102"/>
      <c r="J7" s="102"/>
      <c r="K7" s="102"/>
      <c r="L7" s="102"/>
      <c r="M7" s="102"/>
      <c r="N7" s="102"/>
      <c r="O7" s="102"/>
      <c r="P7" s="102"/>
    </row>
    <row r="8" spans="1:16" ht="15" customHeight="1" x14ac:dyDescent="0.3">
      <c r="A8" s="107" t="s">
        <v>113</v>
      </c>
      <c r="B8" s="108" t="s">
        <v>107</v>
      </c>
      <c r="C8" s="109">
        <v>320000</v>
      </c>
      <c r="D8" s="109">
        <f t="shared" si="0"/>
        <v>224000</v>
      </c>
      <c r="E8" s="109">
        <f t="shared" si="1"/>
        <v>160000</v>
      </c>
      <c r="F8" s="109">
        <f t="shared" si="2"/>
        <v>128000</v>
      </c>
      <c r="G8" s="105">
        <f t="shared" si="3"/>
        <v>64000</v>
      </c>
      <c r="H8" s="110" t="s">
        <v>114</v>
      </c>
      <c r="I8" s="102"/>
      <c r="J8" s="102"/>
      <c r="K8" s="102"/>
      <c r="L8" s="102"/>
      <c r="M8" s="102"/>
      <c r="N8" s="102"/>
      <c r="O8" s="102"/>
      <c r="P8" s="102"/>
    </row>
    <row r="9" spans="1:16" ht="15" customHeight="1" x14ac:dyDescent="0.3">
      <c r="A9" s="107"/>
      <c r="B9" s="108" t="s">
        <v>115</v>
      </c>
      <c r="C9" s="109">
        <v>320000</v>
      </c>
      <c r="D9" s="109">
        <f t="shared" si="0"/>
        <v>224000</v>
      </c>
      <c r="E9" s="109">
        <f t="shared" si="1"/>
        <v>160000</v>
      </c>
      <c r="F9" s="109">
        <f t="shared" si="2"/>
        <v>128000</v>
      </c>
      <c r="G9" s="105">
        <f t="shared" si="3"/>
        <v>64000</v>
      </c>
      <c r="H9" s="106"/>
      <c r="I9" s="102"/>
      <c r="J9" s="102"/>
      <c r="K9" s="102"/>
      <c r="L9" s="102"/>
      <c r="M9" s="102"/>
      <c r="N9" s="102"/>
      <c r="O9" s="102"/>
      <c r="P9" s="102"/>
    </row>
    <row r="10" spans="1:16" ht="15" customHeight="1" x14ac:dyDescent="0.3">
      <c r="A10" s="107"/>
      <c r="B10" s="108" t="s">
        <v>116</v>
      </c>
      <c r="C10" s="109">
        <v>320000</v>
      </c>
      <c r="D10" s="109">
        <f t="shared" si="0"/>
        <v>224000</v>
      </c>
      <c r="E10" s="109">
        <f t="shared" si="1"/>
        <v>160000</v>
      </c>
      <c r="F10" s="109">
        <f t="shared" si="2"/>
        <v>128000</v>
      </c>
      <c r="G10" s="105">
        <f t="shared" si="3"/>
        <v>64000</v>
      </c>
      <c r="H10" s="106"/>
      <c r="I10" s="102"/>
      <c r="J10" s="102"/>
      <c r="K10" s="102"/>
      <c r="L10" s="102"/>
      <c r="M10" s="102"/>
      <c r="N10" s="102"/>
      <c r="O10" s="102"/>
      <c r="P10" s="102"/>
    </row>
    <row r="11" spans="1:16" ht="15" customHeight="1" x14ac:dyDescent="0.3">
      <c r="A11" s="103" t="s">
        <v>117</v>
      </c>
      <c r="B11" s="104" t="s">
        <v>107</v>
      </c>
      <c r="C11" s="105">
        <v>280000</v>
      </c>
      <c r="D11" s="105">
        <f t="shared" si="0"/>
        <v>196000</v>
      </c>
      <c r="E11" s="105">
        <f t="shared" si="1"/>
        <v>140000</v>
      </c>
      <c r="F11" s="105">
        <f t="shared" si="2"/>
        <v>112000</v>
      </c>
      <c r="G11" s="105">
        <f t="shared" si="3"/>
        <v>56000</v>
      </c>
      <c r="H11" s="106"/>
      <c r="I11" s="102"/>
      <c r="J11" s="102"/>
      <c r="K11" s="102"/>
      <c r="L11" s="102"/>
      <c r="M11" s="102"/>
      <c r="N11" s="102"/>
      <c r="O11" s="102"/>
      <c r="P11" s="102"/>
    </row>
    <row r="12" spans="1:16" ht="15" customHeight="1" x14ac:dyDescent="0.3">
      <c r="A12" s="103"/>
      <c r="B12" s="104" t="s">
        <v>118</v>
      </c>
      <c r="C12" s="105">
        <v>280000</v>
      </c>
      <c r="D12" s="105">
        <f t="shared" si="0"/>
        <v>196000</v>
      </c>
      <c r="E12" s="105">
        <f t="shared" si="1"/>
        <v>140000</v>
      </c>
      <c r="F12" s="105">
        <f t="shared" si="2"/>
        <v>112000</v>
      </c>
      <c r="G12" s="105">
        <f t="shared" si="3"/>
        <v>56000</v>
      </c>
      <c r="H12" s="106"/>
      <c r="I12" s="102"/>
      <c r="J12" s="102"/>
      <c r="K12" s="102"/>
      <c r="L12" s="102"/>
      <c r="M12" s="102"/>
      <c r="N12" s="102"/>
      <c r="O12" s="102"/>
      <c r="P12" s="102"/>
    </row>
    <row r="13" spans="1:16" ht="15" customHeight="1" x14ac:dyDescent="0.3">
      <c r="A13" s="107" t="s">
        <v>119</v>
      </c>
      <c r="B13" s="108" t="s">
        <v>107</v>
      </c>
      <c r="C13" s="109">
        <v>270000</v>
      </c>
      <c r="D13" s="109">
        <f t="shared" si="0"/>
        <v>189000</v>
      </c>
      <c r="E13" s="109">
        <f t="shared" si="1"/>
        <v>135000</v>
      </c>
      <c r="F13" s="109">
        <f t="shared" si="2"/>
        <v>108000</v>
      </c>
      <c r="G13" s="105">
        <f t="shared" si="3"/>
        <v>54000</v>
      </c>
      <c r="H13" s="106"/>
      <c r="I13" s="102"/>
      <c r="J13" s="102"/>
      <c r="K13" s="102"/>
      <c r="L13" s="102"/>
      <c r="M13" s="102"/>
      <c r="N13" s="102"/>
      <c r="O13" s="102"/>
      <c r="P13" s="102"/>
    </row>
    <row r="14" spans="1:16" ht="15" customHeight="1" x14ac:dyDescent="0.3">
      <c r="A14" s="107"/>
      <c r="B14" s="108" t="s">
        <v>120</v>
      </c>
      <c r="C14" s="109">
        <v>270000</v>
      </c>
      <c r="D14" s="109">
        <f t="shared" si="0"/>
        <v>189000</v>
      </c>
      <c r="E14" s="109">
        <f t="shared" si="1"/>
        <v>135000</v>
      </c>
      <c r="F14" s="109">
        <f t="shared" si="2"/>
        <v>108000</v>
      </c>
      <c r="G14" s="105">
        <f t="shared" si="3"/>
        <v>54000</v>
      </c>
      <c r="H14" s="111"/>
      <c r="I14" s="102"/>
      <c r="J14" s="102"/>
      <c r="K14" s="102"/>
      <c r="L14" s="102"/>
      <c r="M14" s="102"/>
      <c r="N14" s="102"/>
      <c r="O14" s="102"/>
      <c r="P14" s="102"/>
    </row>
    <row r="15" spans="1:16" ht="15" customHeight="1" x14ac:dyDescent="0.3">
      <c r="A15" s="107"/>
      <c r="B15" s="108" t="s">
        <v>121</v>
      </c>
      <c r="C15" s="109">
        <v>270000</v>
      </c>
      <c r="D15" s="109">
        <f t="shared" si="0"/>
        <v>189000</v>
      </c>
      <c r="E15" s="109">
        <f t="shared" si="1"/>
        <v>135000</v>
      </c>
      <c r="F15" s="109">
        <f t="shared" si="2"/>
        <v>108000</v>
      </c>
      <c r="G15" s="105">
        <f t="shared" si="3"/>
        <v>54000</v>
      </c>
      <c r="H15" s="112"/>
      <c r="I15" s="102"/>
      <c r="J15" s="102"/>
      <c r="K15" s="102"/>
      <c r="L15" s="102"/>
      <c r="M15" s="102"/>
      <c r="N15" s="102"/>
      <c r="O15" s="102"/>
      <c r="P15" s="102"/>
    </row>
    <row r="16" spans="1:16" ht="15" customHeight="1" x14ac:dyDescent="0.3">
      <c r="A16" s="107"/>
      <c r="B16" s="108" t="s">
        <v>122</v>
      </c>
      <c r="C16" s="109">
        <v>270000</v>
      </c>
      <c r="D16" s="109">
        <f t="shared" si="0"/>
        <v>189000</v>
      </c>
      <c r="E16" s="109">
        <f t="shared" si="1"/>
        <v>135000</v>
      </c>
      <c r="F16" s="109">
        <f t="shared" si="2"/>
        <v>108000</v>
      </c>
      <c r="G16" s="105">
        <f t="shared" si="3"/>
        <v>54000</v>
      </c>
      <c r="H16" s="112"/>
      <c r="I16" s="102"/>
      <c r="J16" s="102"/>
      <c r="K16" s="102"/>
      <c r="L16" s="102"/>
      <c r="M16" s="102"/>
      <c r="N16" s="102"/>
      <c r="O16" s="102"/>
      <c r="P16" s="102"/>
    </row>
    <row r="17" spans="1:16" ht="15" customHeight="1" x14ac:dyDescent="0.3">
      <c r="A17" s="107"/>
      <c r="B17" s="108" t="s">
        <v>123</v>
      </c>
      <c r="C17" s="109">
        <v>300000</v>
      </c>
      <c r="D17" s="109">
        <f t="shared" si="0"/>
        <v>210000</v>
      </c>
      <c r="E17" s="109">
        <f t="shared" si="1"/>
        <v>150000</v>
      </c>
      <c r="F17" s="109">
        <f t="shared" si="2"/>
        <v>120000</v>
      </c>
      <c r="G17" s="105">
        <f t="shared" si="3"/>
        <v>60000</v>
      </c>
      <c r="H17" s="112"/>
      <c r="I17" s="102"/>
      <c r="J17" s="102"/>
      <c r="K17" s="102"/>
      <c r="L17" s="102"/>
      <c r="M17" s="102"/>
      <c r="N17" s="102"/>
      <c r="O17" s="102"/>
      <c r="P17" s="102"/>
    </row>
    <row r="18" spans="1:16" ht="15" customHeight="1" x14ac:dyDescent="0.3">
      <c r="A18" s="107"/>
      <c r="B18" s="108" t="s">
        <v>124</v>
      </c>
      <c r="C18" s="109">
        <v>320000</v>
      </c>
      <c r="D18" s="109">
        <f t="shared" si="0"/>
        <v>224000</v>
      </c>
      <c r="E18" s="109">
        <f t="shared" si="1"/>
        <v>160000</v>
      </c>
      <c r="F18" s="109">
        <f t="shared" si="2"/>
        <v>128000</v>
      </c>
      <c r="G18" s="105">
        <f t="shared" si="3"/>
        <v>64000</v>
      </c>
      <c r="H18" s="112"/>
      <c r="I18" s="102"/>
      <c r="J18" s="102"/>
      <c r="K18" s="102"/>
      <c r="L18" s="102"/>
      <c r="M18" s="102"/>
      <c r="N18" s="102"/>
      <c r="O18" s="102"/>
      <c r="P18" s="102"/>
    </row>
    <row r="19" spans="1:16" ht="15" customHeight="1" x14ac:dyDescent="0.3">
      <c r="A19" s="103" t="s">
        <v>125</v>
      </c>
      <c r="B19" s="104" t="s">
        <v>107</v>
      </c>
      <c r="C19" s="105">
        <v>320000</v>
      </c>
      <c r="D19" s="105">
        <f t="shared" si="0"/>
        <v>224000</v>
      </c>
      <c r="E19" s="105">
        <f t="shared" si="1"/>
        <v>160000</v>
      </c>
      <c r="F19" s="105">
        <f t="shared" si="2"/>
        <v>128000</v>
      </c>
      <c r="G19" s="105">
        <f t="shared" si="3"/>
        <v>64000</v>
      </c>
      <c r="H19" s="112"/>
      <c r="I19" s="102"/>
      <c r="J19" s="102"/>
      <c r="K19" s="102"/>
      <c r="L19" s="102"/>
      <c r="M19" s="102"/>
      <c r="N19" s="102"/>
      <c r="O19" s="102"/>
      <c r="P19" s="102"/>
    </row>
    <row r="20" spans="1:16" ht="15" customHeight="1" x14ac:dyDescent="0.3">
      <c r="A20" s="103"/>
      <c r="B20" s="104" t="s">
        <v>126</v>
      </c>
      <c r="C20" s="105">
        <v>320000</v>
      </c>
      <c r="D20" s="105">
        <f t="shared" si="0"/>
        <v>224000</v>
      </c>
      <c r="E20" s="105">
        <f t="shared" si="1"/>
        <v>160000</v>
      </c>
      <c r="F20" s="105">
        <f t="shared" si="2"/>
        <v>128000</v>
      </c>
      <c r="G20" s="105">
        <f t="shared" si="3"/>
        <v>64000</v>
      </c>
      <c r="H20" s="112"/>
      <c r="I20" s="102"/>
      <c r="J20" s="102"/>
      <c r="K20" s="102"/>
      <c r="L20" s="102"/>
      <c r="M20" s="102"/>
      <c r="N20" s="102"/>
      <c r="O20" s="102"/>
      <c r="P20" s="102"/>
    </row>
    <row r="21" spans="1:16" ht="15" customHeight="1" x14ac:dyDescent="0.3">
      <c r="A21" s="103"/>
      <c r="B21" s="104" t="s">
        <v>127</v>
      </c>
      <c r="C21" s="105">
        <v>280000</v>
      </c>
      <c r="D21" s="105">
        <f t="shared" si="0"/>
        <v>196000</v>
      </c>
      <c r="E21" s="105">
        <f t="shared" si="1"/>
        <v>140000</v>
      </c>
      <c r="F21" s="105">
        <f t="shared" si="2"/>
        <v>112000</v>
      </c>
      <c r="G21" s="105">
        <f t="shared" si="3"/>
        <v>56000</v>
      </c>
      <c r="H21" s="112"/>
      <c r="I21" s="102"/>
      <c r="J21" s="102"/>
      <c r="K21" s="102"/>
      <c r="L21" s="102"/>
      <c r="M21" s="102"/>
      <c r="N21" s="102"/>
      <c r="O21" s="102"/>
      <c r="P21" s="102"/>
    </row>
    <row r="22" spans="1:16" ht="15" customHeight="1" x14ac:dyDescent="0.3">
      <c r="A22" s="103"/>
      <c r="B22" s="104" t="s">
        <v>128</v>
      </c>
      <c r="C22" s="105">
        <v>280000</v>
      </c>
      <c r="D22" s="105">
        <f t="shared" si="0"/>
        <v>196000</v>
      </c>
      <c r="E22" s="105">
        <f t="shared" si="1"/>
        <v>140000</v>
      </c>
      <c r="F22" s="105">
        <f t="shared" si="2"/>
        <v>112000</v>
      </c>
      <c r="G22" s="105">
        <f t="shared" si="3"/>
        <v>56000</v>
      </c>
      <c r="H22" s="112"/>
      <c r="I22" s="102"/>
      <c r="J22" s="102"/>
      <c r="K22" s="102"/>
      <c r="L22" s="102"/>
      <c r="M22" s="102"/>
      <c r="N22" s="102"/>
      <c r="O22" s="102"/>
      <c r="P22" s="102"/>
    </row>
    <row r="23" spans="1:16" ht="15" customHeight="1" x14ac:dyDescent="0.3">
      <c r="A23" s="103"/>
      <c r="B23" s="104" t="s">
        <v>129</v>
      </c>
      <c r="C23" s="105">
        <v>280000</v>
      </c>
      <c r="D23" s="105">
        <f t="shared" si="0"/>
        <v>196000</v>
      </c>
      <c r="E23" s="105">
        <f t="shared" si="1"/>
        <v>140000</v>
      </c>
      <c r="F23" s="105">
        <f t="shared" si="2"/>
        <v>112000</v>
      </c>
      <c r="G23" s="105">
        <f t="shared" si="3"/>
        <v>56000</v>
      </c>
      <c r="H23" s="112"/>
      <c r="I23" s="102"/>
      <c r="J23" s="102"/>
      <c r="K23" s="102"/>
      <c r="L23" s="102"/>
      <c r="M23" s="102"/>
      <c r="N23" s="102"/>
      <c r="O23" s="102"/>
      <c r="P23" s="102"/>
    </row>
    <row r="24" spans="1:16" ht="15" customHeight="1" x14ac:dyDescent="0.3">
      <c r="A24" s="107" t="s">
        <v>130</v>
      </c>
      <c r="B24" s="108" t="s">
        <v>107</v>
      </c>
      <c r="C24" s="109">
        <v>250000</v>
      </c>
      <c r="D24" s="109">
        <f t="shared" si="0"/>
        <v>175000</v>
      </c>
      <c r="E24" s="109">
        <f t="shared" si="1"/>
        <v>125000</v>
      </c>
      <c r="F24" s="109">
        <f t="shared" si="2"/>
        <v>100000</v>
      </c>
      <c r="G24" s="105">
        <f t="shared" si="3"/>
        <v>50000</v>
      </c>
      <c r="H24" s="112"/>
      <c r="I24" s="102"/>
      <c r="J24" s="102"/>
      <c r="K24" s="102"/>
      <c r="L24" s="102"/>
      <c r="M24" s="102"/>
      <c r="N24" s="102"/>
      <c r="O24" s="102"/>
      <c r="P24" s="102"/>
    </row>
    <row r="25" spans="1:16" ht="15" customHeight="1" x14ac:dyDescent="0.3">
      <c r="A25" s="107"/>
      <c r="B25" s="108" t="s">
        <v>131</v>
      </c>
      <c r="C25" s="109">
        <v>260000</v>
      </c>
      <c r="D25" s="109">
        <f t="shared" si="0"/>
        <v>182000</v>
      </c>
      <c r="E25" s="109">
        <f t="shared" si="1"/>
        <v>130000</v>
      </c>
      <c r="F25" s="109">
        <f t="shared" si="2"/>
        <v>104000</v>
      </c>
      <c r="G25" s="105">
        <f t="shared" si="3"/>
        <v>52000</v>
      </c>
      <c r="H25" s="112"/>
      <c r="I25" s="102"/>
      <c r="J25" s="102"/>
      <c r="K25" s="102"/>
      <c r="L25" s="102"/>
      <c r="M25" s="102"/>
      <c r="N25" s="102"/>
      <c r="O25" s="102"/>
      <c r="P25" s="102"/>
    </row>
    <row r="26" spans="1:16" ht="15" customHeight="1" x14ac:dyDescent="0.3">
      <c r="A26" s="107"/>
      <c r="B26" s="108" t="s">
        <v>132</v>
      </c>
      <c r="C26" s="109">
        <v>250000</v>
      </c>
      <c r="D26" s="109">
        <f t="shared" si="0"/>
        <v>175000</v>
      </c>
      <c r="E26" s="109">
        <f t="shared" si="1"/>
        <v>125000</v>
      </c>
      <c r="F26" s="109">
        <f t="shared" si="2"/>
        <v>100000</v>
      </c>
      <c r="G26" s="105">
        <f t="shared" si="3"/>
        <v>50000</v>
      </c>
      <c r="H26" s="112"/>
      <c r="I26" s="102"/>
      <c r="J26" s="102"/>
      <c r="K26" s="102"/>
      <c r="L26" s="102"/>
      <c r="M26" s="102"/>
      <c r="N26" s="102"/>
      <c r="O26" s="102"/>
      <c r="P26" s="102"/>
    </row>
    <row r="27" spans="1:16" ht="15" customHeight="1" x14ac:dyDescent="0.3">
      <c r="A27" s="107"/>
      <c r="B27" s="108" t="s">
        <v>133</v>
      </c>
      <c r="C27" s="109">
        <v>200000</v>
      </c>
      <c r="D27" s="109">
        <f t="shared" si="0"/>
        <v>140000</v>
      </c>
      <c r="E27" s="109">
        <f t="shared" si="1"/>
        <v>100000</v>
      </c>
      <c r="F27" s="109">
        <f t="shared" si="2"/>
        <v>80000</v>
      </c>
      <c r="G27" s="105">
        <f t="shared" si="3"/>
        <v>40000</v>
      </c>
      <c r="H27" s="112"/>
      <c r="I27" s="102"/>
      <c r="J27" s="102"/>
      <c r="K27" s="102"/>
      <c r="L27" s="102"/>
      <c r="M27" s="102"/>
      <c r="N27" s="102"/>
      <c r="O27" s="102"/>
      <c r="P27" s="102"/>
    </row>
    <row r="28" spans="1:16" ht="15" customHeight="1" x14ac:dyDescent="0.3">
      <c r="A28" s="103" t="s">
        <v>134</v>
      </c>
      <c r="B28" s="104" t="s">
        <v>107</v>
      </c>
      <c r="C28" s="105">
        <v>230000</v>
      </c>
      <c r="D28" s="105">
        <f t="shared" si="0"/>
        <v>161000</v>
      </c>
      <c r="E28" s="105">
        <f t="shared" si="1"/>
        <v>115000</v>
      </c>
      <c r="F28" s="105">
        <f t="shared" si="2"/>
        <v>92000</v>
      </c>
      <c r="G28" s="105">
        <f t="shared" si="3"/>
        <v>46000</v>
      </c>
      <c r="H28" s="112"/>
      <c r="I28" s="102"/>
      <c r="J28" s="102"/>
      <c r="K28" s="102"/>
      <c r="L28" s="102"/>
      <c r="M28" s="102"/>
      <c r="N28" s="102"/>
      <c r="O28" s="102"/>
      <c r="P28" s="102"/>
    </row>
    <row r="29" spans="1:16" ht="15" customHeight="1" x14ac:dyDescent="0.3">
      <c r="A29" s="103"/>
      <c r="B29" s="104" t="s">
        <v>135</v>
      </c>
      <c r="C29" s="105">
        <v>230000</v>
      </c>
      <c r="D29" s="105">
        <f t="shared" si="0"/>
        <v>161000</v>
      </c>
      <c r="E29" s="105">
        <f t="shared" si="1"/>
        <v>115000</v>
      </c>
      <c r="F29" s="105">
        <f t="shared" si="2"/>
        <v>92000</v>
      </c>
      <c r="G29" s="105">
        <f t="shared" si="3"/>
        <v>46000</v>
      </c>
      <c r="H29" s="112"/>
      <c r="I29" s="102"/>
      <c r="J29" s="102"/>
      <c r="K29" s="102"/>
      <c r="L29" s="102"/>
      <c r="M29" s="102"/>
      <c r="N29" s="102"/>
      <c r="O29" s="102"/>
      <c r="P29" s="102"/>
    </row>
    <row r="30" spans="1:16" ht="15" customHeight="1" x14ac:dyDescent="0.3">
      <c r="A30" s="103"/>
      <c r="B30" s="104" t="s">
        <v>136</v>
      </c>
      <c r="C30" s="105">
        <v>250000</v>
      </c>
      <c r="D30" s="105">
        <f t="shared" si="0"/>
        <v>175000</v>
      </c>
      <c r="E30" s="105">
        <f t="shared" si="1"/>
        <v>125000</v>
      </c>
      <c r="F30" s="105">
        <f t="shared" si="2"/>
        <v>100000</v>
      </c>
      <c r="G30" s="105">
        <f t="shared" si="3"/>
        <v>50000</v>
      </c>
      <c r="H30" s="112"/>
      <c r="I30" s="102"/>
      <c r="J30" s="102"/>
      <c r="K30" s="102"/>
      <c r="L30" s="102"/>
      <c r="M30" s="102"/>
      <c r="N30" s="102"/>
      <c r="O30" s="102"/>
      <c r="P30" s="102"/>
    </row>
    <row r="31" spans="1:16" ht="15" customHeight="1" x14ac:dyDescent="0.3">
      <c r="A31" s="103"/>
      <c r="B31" s="104" t="s">
        <v>137</v>
      </c>
      <c r="C31" s="105">
        <v>250000</v>
      </c>
      <c r="D31" s="105">
        <f t="shared" si="0"/>
        <v>175000</v>
      </c>
      <c r="E31" s="105">
        <f t="shared" si="1"/>
        <v>125000</v>
      </c>
      <c r="F31" s="105">
        <f t="shared" si="2"/>
        <v>100000</v>
      </c>
      <c r="G31" s="105">
        <f t="shared" si="3"/>
        <v>50000</v>
      </c>
      <c r="H31" s="112"/>
      <c r="I31" s="102"/>
      <c r="J31" s="102"/>
      <c r="K31" s="102"/>
      <c r="L31" s="102"/>
      <c r="M31" s="102"/>
      <c r="N31" s="102"/>
      <c r="O31" s="102"/>
      <c r="P31" s="102"/>
    </row>
    <row r="32" spans="1:16" ht="15" customHeight="1" x14ac:dyDescent="0.3">
      <c r="A32" s="103"/>
      <c r="B32" s="104" t="s">
        <v>138</v>
      </c>
      <c r="C32" s="105">
        <v>300000</v>
      </c>
      <c r="D32" s="105">
        <f t="shared" si="0"/>
        <v>210000</v>
      </c>
      <c r="E32" s="105">
        <f t="shared" si="1"/>
        <v>150000</v>
      </c>
      <c r="F32" s="105">
        <f t="shared" si="2"/>
        <v>120000</v>
      </c>
      <c r="G32" s="105">
        <f t="shared" si="3"/>
        <v>60000</v>
      </c>
      <c r="H32" s="112"/>
      <c r="I32" s="102"/>
      <c r="J32" s="102"/>
      <c r="K32" s="102"/>
      <c r="L32" s="102"/>
      <c r="M32" s="102"/>
      <c r="N32" s="102"/>
      <c r="O32" s="102"/>
      <c r="P32" s="102"/>
    </row>
    <row r="33" spans="1:16" ht="15" customHeight="1" x14ac:dyDescent="0.3">
      <c r="A33" s="103"/>
      <c r="B33" s="104" t="s">
        <v>139</v>
      </c>
      <c r="C33" s="105">
        <v>300000</v>
      </c>
      <c r="D33" s="105">
        <f t="shared" si="0"/>
        <v>210000</v>
      </c>
      <c r="E33" s="105">
        <f t="shared" si="1"/>
        <v>150000</v>
      </c>
      <c r="F33" s="105">
        <f t="shared" si="2"/>
        <v>120000</v>
      </c>
      <c r="G33" s="105">
        <f t="shared" si="3"/>
        <v>60000</v>
      </c>
      <c r="H33" s="112"/>
      <c r="I33" s="102"/>
      <c r="J33" s="102"/>
      <c r="K33" s="102"/>
      <c r="L33" s="102"/>
      <c r="M33" s="102"/>
      <c r="N33" s="102"/>
      <c r="O33" s="102"/>
      <c r="P33" s="102"/>
    </row>
    <row r="34" spans="1:16" ht="15" customHeight="1" x14ac:dyDescent="0.3">
      <c r="A34" s="107" t="s">
        <v>140</v>
      </c>
      <c r="B34" s="108" t="s">
        <v>107</v>
      </c>
      <c r="C34" s="109">
        <v>130000</v>
      </c>
      <c r="D34" s="109">
        <f t="shared" si="0"/>
        <v>91000</v>
      </c>
      <c r="E34" s="109">
        <f t="shared" si="1"/>
        <v>65000</v>
      </c>
      <c r="F34" s="109">
        <f t="shared" si="2"/>
        <v>52000</v>
      </c>
      <c r="G34" s="105">
        <f t="shared" si="3"/>
        <v>26000</v>
      </c>
      <c r="H34" s="112"/>
      <c r="I34" s="102"/>
      <c r="J34" s="102"/>
      <c r="K34" s="102"/>
      <c r="L34" s="102"/>
      <c r="M34" s="102"/>
      <c r="N34" s="102"/>
      <c r="O34" s="102"/>
      <c r="P34" s="102"/>
    </row>
    <row r="35" spans="1:16" ht="15" customHeight="1" x14ac:dyDescent="0.3">
      <c r="A35" s="107"/>
      <c r="B35" s="108" t="s">
        <v>110</v>
      </c>
      <c r="C35" s="109">
        <v>130000</v>
      </c>
      <c r="D35" s="109">
        <f t="shared" si="0"/>
        <v>91000</v>
      </c>
      <c r="E35" s="109">
        <f t="shared" si="1"/>
        <v>65000</v>
      </c>
      <c r="F35" s="109">
        <f t="shared" si="2"/>
        <v>52000</v>
      </c>
      <c r="G35" s="105">
        <f t="shared" si="3"/>
        <v>26000</v>
      </c>
      <c r="H35" s="112"/>
      <c r="I35" s="102"/>
      <c r="J35" s="102"/>
      <c r="K35" s="102"/>
      <c r="L35" s="102"/>
      <c r="M35" s="102"/>
      <c r="N35" s="102"/>
      <c r="O35" s="102"/>
      <c r="P35" s="102"/>
    </row>
    <row r="36" spans="1:16" ht="15" customHeight="1" x14ac:dyDescent="0.3">
      <c r="A36" s="107"/>
      <c r="B36" s="108" t="s">
        <v>141</v>
      </c>
      <c r="C36" s="109">
        <v>220000</v>
      </c>
      <c r="D36" s="109">
        <f t="shared" si="0"/>
        <v>154000</v>
      </c>
      <c r="E36" s="109">
        <f t="shared" si="1"/>
        <v>110000</v>
      </c>
      <c r="F36" s="109">
        <f t="shared" si="2"/>
        <v>88000</v>
      </c>
      <c r="G36" s="105">
        <f t="shared" si="3"/>
        <v>44000</v>
      </c>
      <c r="H36" s="112"/>
      <c r="I36" s="102"/>
      <c r="J36" s="102"/>
      <c r="K36" s="102"/>
      <c r="L36" s="102"/>
      <c r="M36" s="102"/>
      <c r="N36" s="102"/>
      <c r="O36" s="102"/>
      <c r="P36" s="102"/>
    </row>
    <row r="37" spans="1:16" ht="15" customHeight="1" x14ac:dyDescent="0.3">
      <c r="A37" s="107"/>
      <c r="B37" s="108" t="s">
        <v>142</v>
      </c>
      <c r="C37" s="109">
        <v>200000</v>
      </c>
      <c r="D37" s="109">
        <f t="shared" si="0"/>
        <v>140000</v>
      </c>
      <c r="E37" s="109">
        <f t="shared" si="1"/>
        <v>100000</v>
      </c>
      <c r="F37" s="109">
        <f t="shared" si="2"/>
        <v>80000</v>
      </c>
      <c r="G37" s="105">
        <f t="shared" si="3"/>
        <v>40000</v>
      </c>
      <c r="H37" s="112"/>
      <c r="I37" s="102"/>
      <c r="J37" s="102"/>
      <c r="K37" s="102"/>
      <c r="L37" s="102"/>
      <c r="M37" s="102"/>
      <c r="N37" s="102"/>
      <c r="O37" s="102"/>
      <c r="P37" s="102"/>
    </row>
    <row r="38" spans="1:16" ht="15" customHeight="1" x14ac:dyDescent="0.3">
      <c r="A38" s="107"/>
      <c r="B38" s="108" t="s">
        <v>143</v>
      </c>
      <c r="C38" s="109">
        <v>200000</v>
      </c>
      <c r="D38" s="109">
        <f t="shared" si="0"/>
        <v>140000</v>
      </c>
      <c r="E38" s="109">
        <f t="shared" si="1"/>
        <v>100000</v>
      </c>
      <c r="F38" s="109">
        <f t="shared" si="2"/>
        <v>80000</v>
      </c>
      <c r="G38" s="105">
        <f t="shared" si="3"/>
        <v>40000</v>
      </c>
      <c r="H38" s="112"/>
    </row>
    <row r="39" spans="1:16" ht="15" customHeight="1" x14ac:dyDescent="0.3">
      <c r="A39" s="107"/>
      <c r="B39" s="108" t="s">
        <v>144</v>
      </c>
      <c r="C39" s="109">
        <v>190000</v>
      </c>
      <c r="D39" s="109">
        <f t="shared" si="0"/>
        <v>133000</v>
      </c>
      <c r="E39" s="109">
        <f t="shared" si="1"/>
        <v>95000</v>
      </c>
      <c r="F39" s="109">
        <f t="shared" si="2"/>
        <v>76000</v>
      </c>
      <c r="G39" s="105">
        <f t="shared" si="3"/>
        <v>38000</v>
      </c>
      <c r="H39" s="112"/>
    </row>
    <row r="40" spans="1:16" ht="15" customHeight="1" x14ac:dyDescent="0.3">
      <c r="A40" s="107"/>
      <c r="B40" s="108" t="s">
        <v>145</v>
      </c>
      <c r="C40" s="109">
        <v>190000</v>
      </c>
      <c r="D40" s="109">
        <f t="shared" si="0"/>
        <v>133000</v>
      </c>
      <c r="E40" s="109">
        <f t="shared" si="1"/>
        <v>95000</v>
      </c>
      <c r="F40" s="109">
        <f t="shared" si="2"/>
        <v>76000</v>
      </c>
      <c r="G40" s="105">
        <f t="shared" si="3"/>
        <v>38000</v>
      </c>
      <c r="H40" s="112"/>
    </row>
    <row r="41" spans="1:16" ht="15" customHeight="1" x14ac:dyDescent="0.3">
      <c r="A41" s="107"/>
      <c r="B41" s="108" t="s">
        <v>146</v>
      </c>
      <c r="C41" s="109">
        <v>130000</v>
      </c>
      <c r="D41" s="109">
        <f t="shared" si="0"/>
        <v>91000</v>
      </c>
      <c r="E41" s="109">
        <f t="shared" si="1"/>
        <v>65000</v>
      </c>
      <c r="F41" s="109">
        <f t="shared" si="2"/>
        <v>52000</v>
      </c>
      <c r="G41" s="105">
        <f t="shared" si="3"/>
        <v>26000</v>
      </c>
      <c r="H41" s="112"/>
    </row>
    <row r="42" spans="1:16" ht="15" customHeight="1" x14ac:dyDescent="0.3">
      <c r="A42" s="107"/>
      <c r="B42" s="108" t="s">
        <v>147</v>
      </c>
      <c r="C42" s="109">
        <v>120000</v>
      </c>
      <c r="D42" s="109">
        <f t="shared" si="0"/>
        <v>84000</v>
      </c>
      <c r="E42" s="109">
        <f t="shared" si="1"/>
        <v>60000</v>
      </c>
      <c r="F42" s="109">
        <f t="shared" si="2"/>
        <v>48000</v>
      </c>
      <c r="G42" s="105">
        <f t="shared" si="3"/>
        <v>24000</v>
      </c>
      <c r="H42" s="112"/>
    </row>
    <row r="43" spans="1:16" ht="15" customHeight="1" x14ac:dyDescent="0.3">
      <c r="A43" s="103" t="s">
        <v>148</v>
      </c>
      <c r="B43" s="104" t="s">
        <v>107</v>
      </c>
      <c r="C43" s="105">
        <v>80000</v>
      </c>
      <c r="D43" s="105">
        <f t="shared" si="0"/>
        <v>56000</v>
      </c>
      <c r="E43" s="105">
        <f t="shared" si="1"/>
        <v>40000</v>
      </c>
      <c r="F43" s="105">
        <f t="shared" si="2"/>
        <v>32000</v>
      </c>
      <c r="G43" s="113">
        <v>0</v>
      </c>
      <c r="H43" s="112"/>
    </row>
    <row r="44" spans="1:16" ht="15" customHeight="1" x14ac:dyDescent="0.3">
      <c r="A44" s="103"/>
      <c r="B44" s="104" t="s">
        <v>109</v>
      </c>
      <c r="C44" s="105">
        <v>80000</v>
      </c>
      <c r="D44" s="105">
        <f t="shared" si="0"/>
        <v>56000</v>
      </c>
      <c r="E44" s="105">
        <f t="shared" si="1"/>
        <v>40000</v>
      </c>
      <c r="F44" s="105">
        <f t="shared" si="2"/>
        <v>32000</v>
      </c>
      <c r="G44" s="113">
        <v>6000</v>
      </c>
      <c r="H44" s="112"/>
    </row>
    <row r="45" spans="1:16" ht="15" customHeight="1" x14ac:dyDescent="0.3">
      <c r="A45" s="103"/>
      <c r="B45" s="104" t="s">
        <v>110</v>
      </c>
      <c r="C45" s="105">
        <v>80000</v>
      </c>
      <c r="D45" s="105">
        <f t="shared" si="0"/>
        <v>56000</v>
      </c>
      <c r="E45" s="105">
        <f t="shared" si="1"/>
        <v>40000</v>
      </c>
      <c r="F45" s="105">
        <f t="shared" si="2"/>
        <v>32000</v>
      </c>
      <c r="G45" s="113">
        <v>10000</v>
      </c>
      <c r="H45" s="112"/>
    </row>
    <row r="46" spans="1:16" ht="15" customHeight="1" x14ac:dyDescent="0.3">
      <c r="A46" s="108" t="s">
        <v>149</v>
      </c>
      <c r="B46" s="108" t="s">
        <v>107</v>
      </c>
      <c r="C46" s="109">
        <v>120000</v>
      </c>
      <c r="D46" s="109">
        <f t="shared" si="0"/>
        <v>84000</v>
      </c>
      <c r="E46" s="109">
        <f t="shared" si="1"/>
        <v>60000</v>
      </c>
      <c r="F46" s="109">
        <f t="shared" si="2"/>
        <v>48000</v>
      </c>
      <c r="G46" s="105">
        <f>C46*0.2</f>
        <v>24000</v>
      </c>
      <c r="H46" s="112"/>
    </row>
    <row r="47" spans="1:16" ht="15" customHeight="1" x14ac:dyDescent="0.3">
      <c r="A47" s="103" t="s">
        <v>150</v>
      </c>
      <c r="B47" s="104" t="s">
        <v>107</v>
      </c>
      <c r="C47" s="105">
        <v>120000</v>
      </c>
      <c r="D47" s="105">
        <f t="shared" si="0"/>
        <v>84000</v>
      </c>
      <c r="E47" s="105">
        <f t="shared" si="1"/>
        <v>60000</v>
      </c>
      <c r="F47" s="105">
        <f t="shared" si="2"/>
        <v>48000</v>
      </c>
      <c r="G47" s="105">
        <f t="shared" ref="G47:G61" si="4">C47*0.2</f>
        <v>24000</v>
      </c>
      <c r="H47" s="112"/>
    </row>
    <row r="48" spans="1:16" ht="15" customHeight="1" x14ac:dyDescent="0.3">
      <c r="A48" s="103"/>
      <c r="B48" s="104" t="s">
        <v>151</v>
      </c>
      <c r="C48" s="105">
        <v>120000</v>
      </c>
      <c r="D48" s="105">
        <f t="shared" si="0"/>
        <v>84000</v>
      </c>
      <c r="E48" s="105">
        <f t="shared" si="1"/>
        <v>60000</v>
      </c>
      <c r="F48" s="105">
        <f t="shared" si="2"/>
        <v>48000</v>
      </c>
      <c r="G48" s="105">
        <f t="shared" si="4"/>
        <v>24000</v>
      </c>
      <c r="H48" s="112"/>
    </row>
    <row r="49" spans="1:8" x14ac:dyDescent="0.3">
      <c r="A49" s="103"/>
      <c r="B49" s="104" t="s">
        <v>152</v>
      </c>
      <c r="C49" s="105">
        <v>130000</v>
      </c>
      <c r="D49" s="105">
        <f t="shared" si="0"/>
        <v>91000</v>
      </c>
      <c r="E49" s="105">
        <f t="shared" si="1"/>
        <v>65000</v>
      </c>
      <c r="F49" s="105">
        <f t="shared" si="2"/>
        <v>52000</v>
      </c>
      <c r="G49" s="105">
        <f t="shared" si="4"/>
        <v>26000</v>
      </c>
      <c r="H49" s="112"/>
    </row>
    <row r="50" spans="1:8" x14ac:dyDescent="0.3">
      <c r="A50" s="103"/>
      <c r="B50" s="104" t="s">
        <v>153</v>
      </c>
      <c r="C50" s="105">
        <v>140000</v>
      </c>
      <c r="D50" s="105">
        <f t="shared" si="0"/>
        <v>98000</v>
      </c>
      <c r="E50" s="105">
        <f t="shared" si="1"/>
        <v>70000</v>
      </c>
      <c r="F50" s="105">
        <f t="shared" si="2"/>
        <v>56000</v>
      </c>
      <c r="G50" s="105">
        <f t="shared" si="4"/>
        <v>28000</v>
      </c>
      <c r="H50" s="112"/>
    </row>
    <row r="51" spans="1:8" x14ac:dyDescent="0.3">
      <c r="A51" s="103"/>
      <c r="B51" s="104" t="s">
        <v>154</v>
      </c>
      <c r="C51" s="105">
        <v>120000</v>
      </c>
      <c r="D51" s="105">
        <f t="shared" si="0"/>
        <v>84000</v>
      </c>
      <c r="E51" s="105">
        <f t="shared" si="1"/>
        <v>60000</v>
      </c>
      <c r="F51" s="105">
        <f t="shared" si="2"/>
        <v>48000</v>
      </c>
      <c r="G51" s="105">
        <f t="shared" si="4"/>
        <v>24000</v>
      </c>
      <c r="H51" s="112"/>
    </row>
    <row r="52" spans="1:8" x14ac:dyDescent="0.3">
      <c r="A52" s="103"/>
      <c r="B52" s="104" t="s">
        <v>155</v>
      </c>
      <c r="C52" s="105">
        <v>170000</v>
      </c>
      <c r="D52" s="105">
        <f t="shared" si="0"/>
        <v>118999.99999999999</v>
      </c>
      <c r="E52" s="105">
        <f t="shared" si="1"/>
        <v>85000</v>
      </c>
      <c r="F52" s="105">
        <f t="shared" si="2"/>
        <v>68000</v>
      </c>
      <c r="G52" s="105">
        <f t="shared" si="4"/>
        <v>34000</v>
      </c>
      <c r="H52" s="112"/>
    </row>
    <row r="53" spans="1:8" x14ac:dyDescent="0.3">
      <c r="A53" s="107" t="s">
        <v>156</v>
      </c>
      <c r="B53" s="108" t="s">
        <v>107</v>
      </c>
      <c r="C53" s="109">
        <v>220000</v>
      </c>
      <c r="D53" s="109">
        <f t="shared" si="0"/>
        <v>154000</v>
      </c>
      <c r="E53" s="109">
        <f t="shared" si="1"/>
        <v>110000</v>
      </c>
      <c r="F53" s="109">
        <f t="shared" si="2"/>
        <v>88000</v>
      </c>
      <c r="G53" s="105">
        <f t="shared" si="4"/>
        <v>44000</v>
      </c>
      <c r="H53" s="112"/>
    </row>
    <row r="54" spans="1:8" x14ac:dyDescent="0.3">
      <c r="A54" s="107"/>
      <c r="B54" s="108" t="s">
        <v>157</v>
      </c>
      <c r="C54" s="109">
        <v>250000</v>
      </c>
      <c r="D54" s="109">
        <f t="shared" si="0"/>
        <v>175000</v>
      </c>
      <c r="E54" s="109">
        <f t="shared" si="1"/>
        <v>125000</v>
      </c>
      <c r="F54" s="109">
        <f t="shared" si="2"/>
        <v>100000</v>
      </c>
      <c r="G54" s="105">
        <f t="shared" si="4"/>
        <v>50000</v>
      </c>
      <c r="H54" s="112"/>
    </row>
    <row r="55" spans="1:8" x14ac:dyDescent="0.3">
      <c r="A55" s="107"/>
      <c r="B55" s="108" t="s">
        <v>158</v>
      </c>
      <c r="C55" s="109">
        <v>220000</v>
      </c>
      <c r="D55" s="109">
        <f t="shared" si="0"/>
        <v>154000</v>
      </c>
      <c r="E55" s="109">
        <f t="shared" si="1"/>
        <v>110000</v>
      </c>
      <c r="F55" s="109">
        <f t="shared" si="2"/>
        <v>88000</v>
      </c>
      <c r="G55" s="105">
        <f t="shared" si="4"/>
        <v>44000</v>
      </c>
      <c r="H55" s="112"/>
    </row>
    <row r="56" spans="1:8" x14ac:dyDescent="0.3">
      <c r="A56" s="107"/>
      <c r="B56" s="108" t="s">
        <v>159</v>
      </c>
      <c r="C56" s="109">
        <v>190000</v>
      </c>
      <c r="D56" s="109">
        <f t="shared" si="0"/>
        <v>133000</v>
      </c>
      <c r="E56" s="109">
        <f t="shared" si="1"/>
        <v>95000</v>
      </c>
      <c r="F56" s="109">
        <f t="shared" si="2"/>
        <v>76000</v>
      </c>
      <c r="G56" s="105">
        <f t="shared" si="4"/>
        <v>38000</v>
      </c>
      <c r="H56" s="112"/>
    </row>
    <row r="57" spans="1:8" x14ac:dyDescent="0.3">
      <c r="A57" s="107"/>
      <c r="B57" s="108" t="s">
        <v>160</v>
      </c>
      <c r="C57" s="109">
        <v>250000</v>
      </c>
      <c r="D57" s="109">
        <f t="shared" si="0"/>
        <v>175000</v>
      </c>
      <c r="E57" s="109">
        <f t="shared" si="1"/>
        <v>125000</v>
      </c>
      <c r="F57" s="109">
        <f t="shared" si="2"/>
        <v>100000</v>
      </c>
      <c r="G57" s="105">
        <f t="shared" si="4"/>
        <v>50000</v>
      </c>
      <c r="H57" s="112"/>
    </row>
    <row r="58" spans="1:8" x14ac:dyDescent="0.3">
      <c r="A58" s="103" t="s">
        <v>161</v>
      </c>
      <c r="B58" s="104" t="s">
        <v>107</v>
      </c>
      <c r="C58" s="105">
        <v>220000</v>
      </c>
      <c r="D58" s="105">
        <f t="shared" si="0"/>
        <v>154000</v>
      </c>
      <c r="E58" s="105">
        <f t="shared" si="1"/>
        <v>110000</v>
      </c>
      <c r="F58" s="105">
        <f t="shared" si="2"/>
        <v>88000</v>
      </c>
      <c r="G58" s="105">
        <f t="shared" si="4"/>
        <v>44000</v>
      </c>
      <c r="H58" s="112"/>
    </row>
    <row r="59" spans="1:8" x14ac:dyDescent="0.3">
      <c r="A59" s="103"/>
      <c r="B59" s="104" t="s">
        <v>162</v>
      </c>
      <c r="C59" s="105">
        <v>260000</v>
      </c>
      <c r="D59" s="105">
        <f t="shared" si="0"/>
        <v>182000</v>
      </c>
      <c r="E59" s="105">
        <f t="shared" si="1"/>
        <v>130000</v>
      </c>
      <c r="F59" s="105">
        <f t="shared" si="2"/>
        <v>104000</v>
      </c>
      <c r="G59" s="105">
        <f t="shared" si="4"/>
        <v>52000</v>
      </c>
      <c r="H59" s="112"/>
    </row>
    <row r="60" spans="1:8" x14ac:dyDescent="0.3">
      <c r="A60" s="103"/>
      <c r="B60" s="104" t="s">
        <v>163</v>
      </c>
      <c r="C60" s="105">
        <v>240000</v>
      </c>
      <c r="D60" s="105">
        <f t="shared" si="0"/>
        <v>168000</v>
      </c>
      <c r="E60" s="105">
        <f t="shared" si="1"/>
        <v>120000</v>
      </c>
      <c r="F60" s="105">
        <f t="shared" si="2"/>
        <v>96000</v>
      </c>
      <c r="G60" s="105">
        <f t="shared" si="4"/>
        <v>48000</v>
      </c>
      <c r="H60" s="112"/>
    </row>
    <row r="61" spans="1:8" x14ac:dyDescent="0.3">
      <c r="A61" s="103"/>
      <c r="B61" s="104" t="s">
        <v>164</v>
      </c>
      <c r="C61" s="105">
        <v>190000</v>
      </c>
      <c r="D61" s="105">
        <f t="shared" si="0"/>
        <v>133000</v>
      </c>
      <c r="E61" s="105">
        <f t="shared" si="1"/>
        <v>95000</v>
      </c>
      <c r="F61" s="105">
        <f t="shared" si="2"/>
        <v>76000</v>
      </c>
      <c r="G61" s="105">
        <f t="shared" si="4"/>
        <v>38000</v>
      </c>
      <c r="H61" s="112"/>
    </row>
    <row r="62" spans="1:8" x14ac:dyDescent="0.3">
      <c r="A62" s="108" t="s">
        <v>165</v>
      </c>
      <c r="B62" s="108" t="s">
        <v>107</v>
      </c>
      <c r="C62" s="109">
        <v>300000</v>
      </c>
      <c r="D62" s="109">
        <f t="shared" si="0"/>
        <v>210000</v>
      </c>
      <c r="E62" s="109">
        <f t="shared" si="1"/>
        <v>150000</v>
      </c>
      <c r="F62" s="109">
        <f t="shared" si="2"/>
        <v>120000</v>
      </c>
      <c r="G62" s="114">
        <v>0</v>
      </c>
      <c r="H62" s="115"/>
    </row>
    <row r="65" customFormat="1" x14ac:dyDescent="0.3"/>
  </sheetData>
  <mergeCells count="17">
    <mergeCell ref="A58:A61"/>
    <mergeCell ref="A24:A27"/>
    <mergeCell ref="A28:A33"/>
    <mergeCell ref="A34:A42"/>
    <mergeCell ref="A43:A45"/>
    <mergeCell ref="A47:A52"/>
    <mergeCell ref="A53:A57"/>
    <mergeCell ref="A1:F1"/>
    <mergeCell ref="A2:B2"/>
    <mergeCell ref="I2:P37"/>
    <mergeCell ref="A3:A7"/>
    <mergeCell ref="H3:H7"/>
    <mergeCell ref="A8:A10"/>
    <mergeCell ref="H8:H14"/>
    <mergeCell ref="A11:A12"/>
    <mergeCell ref="A13:A18"/>
    <mergeCell ref="A19:A23"/>
  </mergeCells>
  <phoneticPr fontId="1" type="noConversion"/>
  <conditionalFormatting sqref="A2">
    <cfRule type="expression" dxfId="3" priority="1">
      <formula>MOD(ROW(),2)=0</formula>
    </cfRule>
  </conditionalFormatting>
  <conditionalFormatting sqref="C2:F2">
    <cfRule type="expression" dxfId="2" priority="2">
      <formula>MOD(ROW(),2)=0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7"/>
  <sheetViews>
    <sheetView showGridLines="0" topLeftCell="A19" workbookViewId="0">
      <selection activeCell="A4" sqref="A4:M4"/>
    </sheetView>
  </sheetViews>
  <sheetFormatPr defaultRowHeight="15.75" customHeight="1" x14ac:dyDescent="0.3"/>
  <cols>
    <col min="1" max="1" width="5.875" style="5" customWidth="1"/>
    <col min="2" max="2" width="17.375" style="9" customWidth="1"/>
    <col min="3" max="3" width="11.375" style="9" customWidth="1"/>
    <col min="4" max="4" width="7" style="9" customWidth="1"/>
    <col min="5" max="5" width="8.75" style="9" customWidth="1"/>
    <col min="6" max="6" width="6.625" style="9" customWidth="1"/>
    <col min="7" max="7" width="10.875" style="3" bestFit="1" customWidth="1"/>
    <col min="8" max="8" width="10.875" style="3" customWidth="1"/>
    <col min="9" max="9" width="7" style="9" customWidth="1"/>
    <col min="10" max="11" width="13.625" style="60" customWidth="1"/>
    <col min="12" max="12" width="9" style="9"/>
    <col min="13" max="13" width="25.25" style="9" bestFit="1" customWidth="1"/>
    <col min="14" max="16" width="10.5" style="5" bestFit="1" customWidth="1"/>
    <col min="17" max="17" width="11.5" style="5" bestFit="1" customWidth="1"/>
    <col min="18" max="18" width="10.5" style="5" bestFit="1" customWidth="1"/>
    <col min="19" max="20" width="9" style="5"/>
    <col min="21" max="21" width="10.5" style="5" bestFit="1" customWidth="1"/>
    <col min="22" max="23" width="9" style="5"/>
    <col min="24" max="24" width="10.5" style="5" bestFit="1" customWidth="1"/>
    <col min="25" max="16384" width="9" style="5"/>
  </cols>
  <sheetData>
    <row r="1" spans="1:24" ht="15.75" customHeight="1" x14ac:dyDescent="0.3">
      <c r="A1" s="8" t="s">
        <v>8</v>
      </c>
      <c r="N1" s="4"/>
      <c r="O1" s="3" t="s">
        <v>28</v>
      </c>
      <c r="P1" s="3" t="s">
        <v>29</v>
      </c>
      <c r="Q1" s="3" t="s">
        <v>30</v>
      </c>
      <c r="R1" s="3" t="s">
        <v>31</v>
      </c>
      <c r="S1" s="4"/>
      <c r="T1" s="4"/>
    </row>
    <row r="2" spans="1:24" ht="15.75" customHeight="1" x14ac:dyDescent="0.3">
      <c r="A2" s="8" t="s">
        <v>9</v>
      </c>
      <c r="N2" s="3"/>
      <c r="O2" s="3">
        <v>2569100</v>
      </c>
      <c r="P2" s="52">
        <v>3738700</v>
      </c>
      <c r="Q2" s="3">
        <v>4459000</v>
      </c>
      <c r="R2" s="3">
        <v>3738700</v>
      </c>
      <c r="S2" s="4"/>
      <c r="T2" s="4"/>
    </row>
    <row r="3" spans="1:24" ht="15.75" customHeight="1" thickBot="1" x14ac:dyDescent="0.35">
      <c r="A3" s="8" t="s">
        <v>10</v>
      </c>
      <c r="N3" s="3"/>
      <c r="O3" s="3">
        <v>2593100</v>
      </c>
      <c r="P3" s="53">
        <v>4561900</v>
      </c>
      <c r="Q3" s="3">
        <v>3841600</v>
      </c>
      <c r="R3" s="3">
        <v>3875900</v>
      </c>
      <c r="S3" s="4"/>
      <c r="T3" s="4"/>
    </row>
    <row r="4" spans="1:24" ht="15.75" customHeight="1" thickBot="1" x14ac:dyDescent="0.35">
      <c r="A4" s="45" t="s">
        <v>0</v>
      </c>
      <c r="B4" s="20" t="s">
        <v>2</v>
      </c>
      <c r="C4" s="21" t="s">
        <v>22</v>
      </c>
      <c r="D4" s="21" t="s">
        <v>1</v>
      </c>
      <c r="E4" s="21" t="s">
        <v>4</v>
      </c>
      <c r="F4" s="21" t="s">
        <v>3</v>
      </c>
      <c r="G4" s="22" t="s">
        <v>5</v>
      </c>
      <c r="H4" s="22" t="s">
        <v>71</v>
      </c>
      <c r="I4" s="74" t="s">
        <v>1</v>
      </c>
      <c r="J4" s="60" t="s">
        <v>72</v>
      </c>
      <c r="K4" s="60" t="s">
        <v>75</v>
      </c>
      <c r="L4" s="83" t="s">
        <v>6</v>
      </c>
      <c r="M4" s="23" t="s">
        <v>7</v>
      </c>
      <c r="N4" s="3"/>
      <c r="O4" s="3">
        <v>70000</v>
      </c>
      <c r="P4" s="53">
        <v>3430000</v>
      </c>
      <c r="Q4" s="3">
        <v>4596200</v>
      </c>
      <c r="R4" s="3">
        <v>70000</v>
      </c>
      <c r="S4" s="4"/>
      <c r="T4" s="4"/>
    </row>
    <row r="5" spans="1:24" ht="15.75" customHeight="1" x14ac:dyDescent="0.3">
      <c r="A5" s="33">
        <v>4</v>
      </c>
      <c r="B5" s="46" t="s">
        <v>8</v>
      </c>
      <c r="C5" s="26" t="s">
        <v>12</v>
      </c>
      <c r="D5" s="64">
        <v>16</v>
      </c>
      <c r="E5" s="11">
        <v>502</v>
      </c>
      <c r="F5" s="10">
        <v>8</v>
      </c>
      <c r="G5" s="12">
        <v>4459000</v>
      </c>
      <c r="H5" s="12">
        <v>44590000</v>
      </c>
      <c r="I5" s="75">
        <v>16</v>
      </c>
      <c r="J5" s="60">
        <f>H5+5000000</f>
        <v>49590000</v>
      </c>
      <c r="K5" s="69">
        <v>49590000</v>
      </c>
      <c r="L5" s="84">
        <v>3</v>
      </c>
      <c r="M5" s="13" t="s">
        <v>19</v>
      </c>
      <c r="N5" s="3"/>
      <c r="O5" s="73">
        <f>SUM(O2:O4)</f>
        <v>5232200</v>
      </c>
      <c r="P5" s="3">
        <v>90000</v>
      </c>
      <c r="Q5" s="3">
        <v>90000</v>
      </c>
      <c r="R5" s="73">
        <f>SUM(R2:R4)</f>
        <v>7684600</v>
      </c>
      <c r="S5" s="4"/>
      <c r="T5" s="4"/>
    </row>
    <row r="6" spans="1:24" ht="15.75" customHeight="1" x14ac:dyDescent="0.3">
      <c r="A6" s="34">
        <v>5</v>
      </c>
      <c r="B6" s="14" t="s">
        <v>8</v>
      </c>
      <c r="C6" s="7" t="s">
        <v>12</v>
      </c>
      <c r="D6" s="65">
        <v>32</v>
      </c>
      <c r="E6" s="1">
        <v>803</v>
      </c>
      <c r="F6" s="1">
        <v>6</v>
      </c>
      <c r="G6" s="2">
        <v>3841600</v>
      </c>
      <c r="H6" s="2">
        <v>38416000</v>
      </c>
      <c r="I6" s="76">
        <v>32</v>
      </c>
      <c r="J6" s="60">
        <f t="shared" ref="J6:J35" si="0">H6+5000000</f>
        <v>43416000</v>
      </c>
      <c r="K6" s="69">
        <v>43416000</v>
      </c>
      <c r="L6" s="85"/>
      <c r="M6" s="15"/>
      <c r="N6" s="3"/>
      <c r="O6" s="3"/>
      <c r="P6" s="73">
        <f>SUM(P2:P5)</f>
        <v>11820600</v>
      </c>
      <c r="Q6" s="73">
        <f>SUM(Q2:Q5)</f>
        <v>12986800</v>
      </c>
      <c r="R6" s="3"/>
      <c r="S6" s="4"/>
      <c r="T6" s="4"/>
    </row>
    <row r="7" spans="1:24" ht="15.75" customHeight="1" thickBot="1" x14ac:dyDescent="0.35">
      <c r="A7" s="36">
        <v>6</v>
      </c>
      <c r="B7" s="16" t="s">
        <v>8</v>
      </c>
      <c r="C7" s="27" t="s">
        <v>12</v>
      </c>
      <c r="D7" s="66">
        <v>41</v>
      </c>
      <c r="E7" s="17">
        <v>1002</v>
      </c>
      <c r="F7" s="17">
        <v>8</v>
      </c>
      <c r="G7" s="18">
        <v>4596200</v>
      </c>
      <c r="H7" s="18">
        <v>45962000</v>
      </c>
      <c r="I7" s="77">
        <v>41</v>
      </c>
      <c r="J7" s="60">
        <f t="shared" si="0"/>
        <v>50962000</v>
      </c>
      <c r="K7" s="69">
        <v>50962000</v>
      </c>
      <c r="L7" s="86"/>
      <c r="M7" s="19"/>
      <c r="N7" s="4"/>
      <c r="O7" s="4"/>
      <c r="P7" s="4"/>
      <c r="Q7" s="4"/>
      <c r="R7" s="4"/>
      <c r="S7" s="4"/>
      <c r="T7" s="4"/>
    </row>
    <row r="8" spans="1:24" ht="15.75" customHeight="1" thickBot="1" x14ac:dyDescent="0.35">
      <c r="A8" s="33">
        <v>1</v>
      </c>
      <c r="B8" s="41" t="s">
        <v>8</v>
      </c>
      <c r="C8" s="30" t="s">
        <v>16</v>
      </c>
      <c r="D8" s="64">
        <v>11</v>
      </c>
      <c r="E8" s="11">
        <v>402</v>
      </c>
      <c r="F8" s="10">
        <v>8</v>
      </c>
      <c r="G8" s="68">
        <v>4459000</v>
      </c>
      <c r="H8" s="12">
        <v>44590000</v>
      </c>
      <c r="I8" s="75">
        <v>11</v>
      </c>
      <c r="J8" s="60">
        <f t="shared" si="0"/>
        <v>49590000</v>
      </c>
      <c r="K8" s="69">
        <v>49590000</v>
      </c>
      <c r="L8" s="84">
        <v>10</v>
      </c>
      <c r="M8" s="13" t="s">
        <v>19</v>
      </c>
      <c r="N8" s="4"/>
      <c r="O8" s="3"/>
      <c r="P8" s="3"/>
      <c r="Q8" s="3"/>
      <c r="R8" s="4"/>
      <c r="S8" s="4"/>
      <c r="T8" s="4"/>
    </row>
    <row r="9" spans="1:24" ht="15.75" customHeight="1" thickBot="1" x14ac:dyDescent="0.35">
      <c r="A9" s="34">
        <v>3</v>
      </c>
      <c r="B9" s="42" t="s">
        <v>8</v>
      </c>
      <c r="C9" s="30" t="s">
        <v>16</v>
      </c>
      <c r="D9" s="65">
        <v>52</v>
      </c>
      <c r="E9" s="1">
        <v>1106</v>
      </c>
      <c r="F9" s="1">
        <v>6</v>
      </c>
      <c r="G9" s="69">
        <v>3841600</v>
      </c>
      <c r="H9" s="2">
        <v>38416000</v>
      </c>
      <c r="I9" s="76">
        <v>52</v>
      </c>
      <c r="J9" s="60">
        <f t="shared" si="0"/>
        <v>43416000</v>
      </c>
      <c r="K9" s="69">
        <v>43416000</v>
      </c>
      <c r="L9" s="85"/>
      <c r="M9" s="15"/>
      <c r="N9" s="3"/>
      <c r="O9" s="3"/>
      <c r="P9" s="52"/>
      <c r="Q9" s="3"/>
      <c r="R9" s="4"/>
      <c r="S9" s="4"/>
      <c r="T9" s="4"/>
    </row>
    <row r="10" spans="1:24" ht="15.75" customHeight="1" thickBot="1" x14ac:dyDescent="0.35">
      <c r="A10" s="35">
        <v>8</v>
      </c>
      <c r="B10" s="43" t="s">
        <v>21</v>
      </c>
      <c r="C10" s="30" t="s">
        <v>16</v>
      </c>
      <c r="D10" s="65">
        <v>55</v>
      </c>
      <c r="E10" s="1">
        <v>1202</v>
      </c>
      <c r="F10" s="1">
        <v>8</v>
      </c>
      <c r="G10" s="69">
        <v>4596200</v>
      </c>
      <c r="H10" s="2">
        <v>45962000</v>
      </c>
      <c r="I10" s="76">
        <v>55</v>
      </c>
      <c r="J10" s="60">
        <f t="shared" si="0"/>
        <v>50962000</v>
      </c>
      <c r="K10" s="69">
        <v>50962000</v>
      </c>
      <c r="L10" s="85"/>
      <c r="M10" s="15"/>
      <c r="N10" s="3"/>
      <c r="O10" s="3"/>
      <c r="P10" s="3"/>
      <c r="Q10" s="3"/>
      <c r="R10" s="4"/>
      <c r="S10" s="4"/>
      <c r="T10" s="4"/>
    </row>
    <row r="11" spans="1:24" ht="15.75" customHeight="1" thickBot="1" x14ac:dyDescent="0.35">
      <c r="A11" s="33">
        <v>9</v>
      </c>
      <c r="B11" s="14" t="s">
        <v>8</v>
      </c>
      <c r="C11" s="30" t="s">
        <v>16</v>
      </c>
      <c r="D11" s="65">
        <v>18</v>
      </c>
      <c r="E11" s="6">
        <v>504</v>
      </c>
      <c r="F11" s="1">
        <v>6</v>
      </c>
      <c r="G11" s="69">
        <v>3738700</v>
      </c>
      <c r="H11" s="2">
        <v>37387000</v>
      </c>
      <c r="I11" s="76">
        <v>18</v>
      </c>
      <c r="J11" s="60">
        <f t="shared" si="0"/>
        <v>42387000</v>
      </c>
      <c r="K11" s="69">
        <v>42387000</v>
      </c>
      <c r="L11" s="85"/>
      <c r="M11" s="15"/>
      <c r="N11" s="4"/>
      <c r="O11" s="3" t="s">
        <v>32</v>
      </c>
      <c r="P11" s="3" t="s">
        <v>33</v>
      </c>
      <c r="Q11" s="3"/>
      <c r="R11" s="4"/>
      <c r="S11" s="4"/>
      <c r="T11" s="5" t="s">
        <v>64</v>
      </c>
    </row>
    <row r="12" spans="1:24" ht="15.75" customHeight="1" thickBot="1" x14ac:dyDescent="0.35">
      <c r="A12" s="36">
        <v>10</v>
      </c>
      <c r="B12" s="14" t="s">
        <v>8</v>
      </c>
      <c r="C12" s="30" t="s">
        <v>16</v>
      </c>
      <c r="D12" s="65">
        <v>27</v>
      </c>
      <c r="E12" s="6">
        <v>703</v>
      </c>
      <c r="F12" s="1">
        <v>6</v>
      </c>
      <c r="G12" s="69">
        <v>3807300</v>
      </c>
      <c r="H12" s="2">
        <v>38073000</v>
      </c>
      <c r="I12" s="76">
        <v>27</v>
      </c>
      <c r="J12" s="60">
        <f t="shared" si="0"/>
        <v>43073000</v>
      </c>
      <c r="K12" s="69">
        <v>43073000</v>
      </c>
      <c r="L12" s="85"/>
      <c r="M12" s="15"/>
      <c r="N12" s="4"/>
      <c r="O12" s="3">
        <v>4527600</v>
      </c>
      <c r="P12" s="3">
        <v>3807300</v>
      </c>
      <c r="Q12" s="3"/>
      <c r="R12" s="4"/>
      <c r="S12" s="4"/>
      <c r="T12" s="5" t="s">
        <v>63</v>
      </c>
      <c r="W12" s="5" t="s">
        <v>67</v>
      </c>
      <c r="X12" s="9"/>
    </row>
    <row r="13" spans="1:24" ht="15.75" customHeight="1" thickBot="1" x14ac:dyDescent="0.35">
      <c r="A13" s="33">
        <v>11</v>
      </c>
      <c r="B13" s="14" t="s">
        <v>8</v>
      </c>
      <c r="C13" s="30" t="s">
        <v>16</v>
      </c>
      <c r="D13" s="65">
        <v>33</v>
      </c>
      <c r="E13" s="1">
        <v>804</v>
      </c>
      <c r="F13" s="1">
        <v>6</v>
      </c>
      <c r="G13" s="69">
        <v>3841600</v>
      </c>
      <c r="H13" s="2">
        <v>38416000</v>
      </c>
      <c r="I13" s="76">
        <v>33</v>
      </c>
      <c r="J13" s="60">
        <f t="shared" si="0"/>
        <v>43416000</v>
      </c>
      <c r="K13" s="69">
        <v>43416000</v>
      </c>
      <c r="L13" s="85"/>
      <c r="M13" s="15"/>
      <c r="N13" s="3"/>
      <c r="O13" s="3">
        <v>3875900</v>
      </c>
      <c r="P13" s="3">
        <v>4596200</v>
      </c>
      <c r="Q13" s="3"/>
      <c r="R13" s="4"/>
      <c r="S13" s="4"/>
      <c r="T13" s="2" t="s">
        <v>65</v>
      </c>
      <c r="U13" s="1" t="s">
        <v>66</v>
      </c>
      <c r="W13" s="2" t="s">
        <v>65</v>
      </c>
      <c r="X13" s="1" t="s">
        <v>66</v>
      </c>
    </row>
    <row r="14" spans="1:24" ht="15.75" customHeight="1" thickBot="1" x14ac:dyDescent="0.35">
      <c r="A14" s="34">
        <v>12</v>
      </c>
      <c r="B14" s="14" t="s">
        <v>8</v>
      </c>
      <c r="C14" s="30" t="s">
        <v>16</v>
      </c>
      <c r="D14" s="65">
        <v>44</v>
      </c>
      <c r="E14" s="1">
        <v>1005</v>
      </c>
      <c r="F14" s="1">
        <v>6</v>
      </c>
      <c r="G14" s="69">
        <v>3395700</v>
      </c>
      <c r="H14" s="2">
        <v>33957000</v>
      </c>
      <c r="I14" s="76">
        <v>44</v>
      </c>
      <c r="J14" s="60">
        <f t="shared" si="0"/>
        <v>38957000</v>
      </c>
      <c r="K14" s="69">
        <v>38957000</v>
      </c>
      <c r="L14" s="85"/>
      <c r="M14" s="15"/>
      <c r="N14" s="3"/>
      <c r="O14" s="3">
        <v>70000</v>
      </c>
      <c r="P14" s="3">
        <v>70000</v>
      </c>
      <c r="Q14" s="3"/>
      <c r="R14" s="4"/>
      <c r="S14" s="4"/>
      <c r="T14" s="61">
        <v>11</v>
      </c>
      <c r="U14" s="2">
        <v>4459000</v>
      </c>
      <c r="W14" s="1">
        <v>36</v>
      </c>
      <c r="X14" s="2">
        <v>4561900</v>
      </c>
    </row>
    <row r="15" spans="1:24" ht="15.75" customHeight="1" thickBot="1" x14ac:dyDescent="0.35">
      <c r="A15" s="34">
        <v>13</v>
      </c>
      <c r="B15" s="14" t="s">
        <v>8</v>
      </c>
      <c r="C15" s="30" t="s">
        <v>16</v>
      </c>
      <c r="D15" s="65">
        <v>49</v>
      </c>
      <c r="E15" s="1">
        <v>1103</v>
      </c>
      <c r="F15" s="1">
        <v>6</v>
      </c>
      <c r="G15" s="69">
        <v>3875900</v>
      </c>
      <c r="H15" s="2">
        <v>38759000</v>
      </c>
      <c r="I15" s="76">
        <v>49</v>
      </c>
      <c r="J15" s="60">
        <f t="shared" si="0"/>
        <v>43759000</v>
      </c>
      <c r="K15" s="69">
        <v>43759000</v>
      </c>
      <c r="L15" s="85"/>
      <c r="M15" s="15"/>
      <c r="N15" s="3"/>
      <c r="O15" s="71">
        <f>SUM(O12:O14)</f>
        <v>8473500</v>
      </c>
      <c r="P15" s="71">
        <f>SUM(P12:P14)</f>
        <v>8473500</v>
      </c>
      <c r="Q15" s="4"/>
      <c r="R15" s="4"/>
      <c r="S15" s="4"/>
      <c r="T15" s="61">
        <v>52</v>
      </c>
      <c r="U15" s="2">
        <v>3841600</v>
      </c>
      <c r="W15" s="1">
        <v>38</v>
      </c>
      <c r="X15" s="2">
        <v>3841600</v>
      </c>
    </row>
    <row r="16" spans="1:24" ht="15.75" customHeight="1" thickBot="1" x14ac:dyDescent="0.35">
      <c r="A16" s="34">
        <v>14</v>
      </c>
      <c r="B16" s="14" t="s">
        <v>8</v>
      </c>
      <c r="C16" s="30" t="s">
        <v>16</v>
      </c>
      <c r="D16" s="65">
        <v>57</v>
      </c>
      <c r="E16" s="1">
        <v>1204</v>
      </c>
      <c r="F16" s="1">
        <v>6</v>
      </c>
      <c r="G16" s="2">
        <v>3875900</v>
      </c>
      <c r="H16" s="2">
        <v>38759000</v>
      </c>
      <c r="I16" s="76">
        <v>57</v>
      </c>
      <c r="J16" s="60">
        <f t="shared" si="0"/>
        <v>43759000</v>
      </c>
      <c r="K16" s="69">
        <v>43759000</v>
      </c>
      <c r="L16" s="85"/>
      <c r="M16" s="15"/>
      <c r="N16" s="3"/>
      <c r="O16" s="52"/>
      <c r="P16" s="52"/>
      <c r="Q16" s="52"/>
      <c r="R16" s="54"/>
      <c r="T16" s="61">
        <v>55</v>
      </c>
      <c r="U16" s="2">
        <v>4596200</v>
      </c>
      <c r="W16" s="1">
        <v>56</v>
      </c>
      <c r="X16" s="2">
        <v>3875900</v>
      </c>
    </row>
    <row r="17" spans="1:24" ht="15.75" customHeight="1" thickBot="1" x14ac:dyDescent="0.35">
      <c r="A17" s="37">
        <v>15</v>
      </c>
      <c r="B17" s="44" t="s">
        <v>8</v>
      </c>
      <c r="C17" s="30" t="s">
        <v>16</v>
      </c>
      <c r="D17" s="66">
        <v>26</v>
      </c>
      <c r="E17" s="32">
        <v>702</v>
      </c>
      <c r="F17" s="17">
        <v>8</v>
      </c>
      <c r="G17" s="18">
        <v>4527600</v>
      </c>
      <c r="H17" s="18">
        <v>45276000</v>
      </c>
      <c r="I17" s="77">
        <v>26</v>
      </c>
      <c r="J17" s="60">
        <f t="shared" si="0"/>
        <v>50276000</v>
      </c>
      <c r="K17" s="69">
        <v>50276000</v>
      </c>
      <c r="L17" s="86"/>
      <c r="M17" s="19" t="s">
        <v>18</v>
      </c>
      <c r="N17" s="4"/>
      <c r="O17" s="52"/>
      <c r="P17" s="52"/>
      <c r="Q17" s="52"/>
      <c r="R17" s="54"/>
      <c r="T17" s="61">
        <v>18</v>
      </c>
      <c r="U17" s="2">
        <v>3738700</v>
      </c>
      <c r="W17" s="1">
        <v>23</v>
      </c>
      <c r="X17" s="2">
        <v>3807300</v>
      </c>
    </row>
    <row r="18" spans="1:24" ht="15.75" customHeight="1" thickBot="1" x14ac:dyDescent="0.35">
      <c r="A18" s="36">
        <v>17</v>
      </c>
      <c r="B18" s="46" t="s">
        <v>8</v>
      </c>
      <c r="C18" s="26" t="s">
        <v>14</v>
      </c>
      <c r="D18" s="64">
        <v>22</v>
      </c>
      <c r="E18" s="11">
        <v>603</v>
      </c>
      <c r="F18" s="10">
        <v>6</v>
      </c>
      <c r="G18" s="12">
        <v>3807300</v>
      </c>
      <c r="H18" s="12">
        <v>38073000</v>
      </c>
      <c r="I18" s="75">
        <v>22</v>
      </c>
      <c r="J18" s="60">
        <f t="shared" si="0"/>
        <v>43073000</v>
      </c>
      <c r="K18" s="69">
        <v>43073000</v>
      </c>
      <c r="L18" s="84">
        <v>2</v>
      </c>
      <c r="M18" s="13" t="s">
        <v>20</v>
      </c>
      <c r="N18" s="4"/>
      <c r="O18" s="3"/>
      <c r="P18" s="3"/>
      <c r="Q18" s="3"/>
      <c r="R18" s="4"/>
      <c r="T18" s="61">
        <v>27</v>
      </c>
      <c r="U18" s="2">
        <v>3807300</v>
      </c>
      <c r="W18" s="1">
        <v>28</v>
      </c>
      <c r="X18" s="2">
        <v>3807300</v>
      </c>
    </row>
    <row r="19" spans="1:24" ht="15.75" customHeight="1" thickBot="1" x14ac:dyDescent="0.35">
      <c r="A19" s="33">
        <v>18</v>
      </c>
      <c r="B19" s="49" t="s">
        <v>8</v>
      </c>
      <c r="C19" s="39" t="s">
        <v>14</v>
      </c>
      <c r="D19" s="70">
        <v>48</v>
      </c>
      <c r="E19" s="38">
        <v>1102</v>
      </c>
      <c r="F19" s="38">
        <v>8</v>
      </c>
      <c r="G19" s="40">
        <v>4596200</v>
      </c>
      <c r="H19" s="40">
        <v>45962000</v>
      </c>
      <c r="I19" s="78">
        <v>48</v>
      </c>
      <c r="J19" s="60">
        <f t="shared" si="0"/>
        <v>50962000</v>
      </c>
      <c r="K19" s="69">
        <v>50962000</v>
      </c>
      <c r="L19" s="87"/>
      <c r="M19" s="48"/>
      <c r="N19" s="3"/>
      <c r="O19" s="3"/>
      <c r="P19" s="3"/>
      <c r="Q19" s="3"/>
      <c r="R19" s="4"/>
      <c r="T19" s="61">
        <v>33</v>
      </c>
      <c r="U19" s="2">
        <v>3841600</v>
      </c>
      <c r="W19" s="1">
        <v>37</v>
      </c>
      <c r="X19" s="2">
        <v>3841600</v>
      </c>
    </row>
    <row r="20" spans="1:24" ht="15.75" customHeight="1" thickBot="1" x14ac:dyDescent="0.35">
      <c r="A20" s="36">
        <v>19</v>
      </c>
      <c r="B20" s="46" t="s">
        <v>8</v>
      </c>
      <c r="C20" s="26" t="s">
        <v>11</v>
      </c>
      <c r="D20" s="64">
        <v>12</v>
      </c>
      <c r="E20" s="11">
        <v>403</v>
      </c>
      <c r="F20" s="10">
        <v>6</v>
      </c>
      <c r="G20" s="12">
        <v>3738700</v>
      </c>
      <c r="H20" s="12">
        <v>37387000</v>
      </c>
      <c r="I20" s="75">
        <v>12</v>
      </c>
      <c r="J20" s="60">
        <f t="shared" si="0"/>
        <v>42387000</v>
      </c>
      <c r="K20" s="69">
        <v>42387000</v>
      </c>
      <c r="L20" s="84">
        <v>3</v>
      </c>
      <c r="M20" s="13" t="s">
        <v>20</v>
      </c>
      <c r="N20" s="3"/>
      <c r="O20" s="3"/>
      <c r="P20" s="3"/>
      <c r="Q20" s="3"/>
      <c r="R20" s="4"/>
      <c r="T20" s="61">
        <v>44</v>
      </c>
      <c r="U20" s="2">
        <v>3395700</v>
      </c>
      <c r="W20" s="1">
        <v>45</v>
      </c>
      <c r="X20" s="2">
        <v>3841600</v>
      </c>
    </row>
    <row r="21" spans="1:24" ht="15.75" customHeight="1" x14ac:dyDescent="0.3">
      <c r="A21" s="33">
        <v>20</v>
      </c>
      <c r="B21" s="14" t="s">
        <v>8</v>
      </c>
      <c r="C21" s="7" t="s">
        <v>11</v>
      </c>
      <c r="D21" s="65">
        <v>31</v>
      </c>
      <c r="E21" s="1">
        <v>802</v>
      </c>
      <c r="F21" s="1">
        <v>8</v>
      </c>
      <c r="G21" s="2">
        <v>4561900</v>
      </c>
      <c r="H21" s="2">
        <v>45619000</v>
      </c>
      <c r="I21" s="76">
        <v>31</v>
      </c>
      <c r="J21" s="60">
        <f t="shared" si="0"/>
        <v>50619000</v>
      </c>
      <c r="K21" s="69">
        <v>50619000</v>
      </c>
      <c r="L21" s="85"/>
      <c r="M21" s="15"/>
      <c r="N21" s="4"/>
      <c r="O21" s="3" t="s">
        <v>34</v>
      </c>
      <c r="P21" s="3" t="s">
        <v>35</v>
      </c>
      <c r="Q21" s="3"/>
      <c r="R21" s="4"/>
      <c r="T21" s="61">
        <v>49</v>
      </c>
      <c r="U21" s="2">
        <v>3875900</v>
      </c>
      <c r="W21" s="1">
        <v>50</v>
      </c>
      <c r="X21" s="2">
        <v>3875900</v>
      </c>
    </row>
    <row r="22" spans="1:24" s="9" customFormat="1" ht="15.75" customHeight="1" thickBot="1" x14ac:dyDescent="0.35">
      <c r="A22" s="36">
        <v>21</v>
      </c>
      <c r="B22" s="16" t="s">
        <v>8</v>
      </c>
      <c r="C22" s="27" t="s">
        <v>11</v>
      </c>
      <c r="D22" s="66">
        <v>58</v>
      </c>
      <c r="E22" s="17">
        <v>1205</v>
      </c>
      <c r="F22" s="17">
        <v>6</v>
      </c>
      <c r="G22" s="18">
        <v>3430000</v>
      </c>
      <c r="H22" s="18">
        <v>34300000</v>
      </c>
      <c r="I22" s="77">
        <v>58</v>
      </c>
      <c r="J22" s="60">
        <f t="shared" si="0"/>
        <v>39300000</v>
      </c>
      <c r="K22" s="69">
        <v>39300000</v>
      </c>
      <c r="L22" s="86"/>
      <c r="M22" s="19"/>
      <c r="N22" s="4"/>
      <c r="O22" s="3">
        <f>SUM(G8:G17)</f>
        <v>39959500</v>
      </c>
      <c r="P22" s="55">
        <f>SUM(G23:G31)</f>
        <v>35329000</v>
      </c>
      <c r="Q22" s="5"/>
      <c r="R22" s="5"/>
      <c r="S22" s="5"/>
      <c r="T22" s="61">
        <v>57</v>
      </c>
      <c r="U22" s="2">
        <v>3875900</v>
      </c>
      <c r="W22" s="1">
        <v>59</v>
      </c>
      <c r="X22" s="2">
        <v>3875900</v>
      </c>
    </row>
    <row r="23" spans="1:24" s="9" customFormat="1" ht="15.75" customHeight="1" x14ac:dyDescent="0.3">
      <c r="A23" s="33">
        <v>2</v>
      </c>
      <c r="B23" s="47" t="s">
        <v>8</v>
      </c>
      <c r="C23" s="30" t="s">
        <v>23</v>
      </c>
      <c r="D23" s="64">
        <v>36</v>
      </c>
      <c r="E23" s="10">
        <v>902</v>
      </c>
      <c r="F23" s="10">
        <v>8</v>
      </c>
      <c r="G23" s="68">
        <v>4561900</v>
      </c>
      <c r="H23" s="12">
        <v>45619000</v>
      </c>
      <c r="I23" s="75">
        <v>36</v>
      </c>
      <c r="J23" s="60">
        <f t="shared" si="0"/>
        <v>50619000</v>
      </c>
      <c r="K23" s="69">
        <v>50619000</v>
      </c>
      <c r="L23" s="84">
        <v>9</v>
      </c>
      <c r="M23" s="13"/>
      <c r="N23" s="3"/>
      <c r="O23" s="3">
        <v>150000</v>
      </c>
      <c r="P23" s="4">
        <v>150000</v>
      </c>
      <c r="Q23" s="5"/>
      <c r="R23" s="5"/>
      <c r="S23" s="5"/>
      <c r="T23" s="61">
        <v>26</v>
      </c>
      <c r="U23" s="2">
        <v>4527600</v>
      </c>
      <c r="W23" s="9" t="s">
        <v>68</v>
      </c>
      <c r="X23" s="62">
        <v>150000</v>
      </c>
    </row>
    <row r="24" spans="1:24" s="9" customFormat="1" ht="15.75" customHeight="1" x14ac:dyDescent="0.3">
      <c r="A24" s="37">
        <v>7</v>
      </c>
      <c r="B24" s="43" t="s">
        <v>21</v>
      </c>
      <c r="C24" s="29" t="s">
        <v>17</v>
      </c>
      <c r="D24" s="65">
        <v>38</v>
      </c>
      <c r="E24" s="1">
        <v>904</v>
      </c>
      <c r="F24" s="1">
        <v>6</v>
      </c>
      <c r="G24" s="69">
        <v>3841600</v>
      </c>
      <c r="H24" s="2">
        <v>38416000</v>
      </c>
      <c r="I24" s="76">
        <v>38</v>
      </c>
      <c r="J24" s="60">
        <f t="shared" si="0"/>
        <v>43416000</v>
      </c>
      <c r="K24" s="69">
        <v>43416000</v>
      </c>
      <c r="L24" s="85"/>
      <c r="M24" s="15" t="s">
        <v>20</v>
      </c>
      <c r="N24" s="5"/>
      <c r="O24" s="72">
        <f>SUM(O22:O23)</f>
        <v>40109500</v>
      </c>
      <c r="P24" s="72">
        <f>SUM(P22:P23)</f>
        <v>35479000</v>
      </c>
      <c r="Q24" s="5"/>
      <c r="R24" s="5"/>
      <c r="S24" s="5"/>
      <c r="T24" s="9" t="s">
        <v>68</v>
      </c>
      <c r="U24" s="62">
        <v>150000</v>
      </c>
      <c r="W24" s="9" t="s">
        <v>69</v>
      </c>
      <c r="X24" s="63">
        <f>SUM(X14:X23)</f>
        <v>35479000</v>
      </c>
    </row>
    <row r="25" spans="1:24" s="9" customFormat="1" ht="15.75" customHeight="1" thickBot="1" x14ac:dyDescent="0.35">
      <c r="A25" s="35">
        <v>16</v>
      </c>
      <c r="B25" s="43" t="s">
        <v>8</v>
      </c>
      <c r="C25" s="29" t="s">
        <v>17</v>
      </c>
      <c r="D25" s="65">
        <v>56</v>
      </c>
      <c r="E25" s="1">
        <v>1203</v>
      </c>
      <c r="F25" s="1">
        <v>6</v>
      </c>
      <c r="G25" s="69">
        <v>3875900</v>
      </c>
      <c r="H25" s="2">
        <v>38759000</v>
      </c>
      <c r="I25" s="76">
        <v>56</v>
      </c>
      <c r="J25" s="60">
        <f t="shared" si="0"/>
        <v>43759000</v>
      </c>
      <c r="K25" s="69">
        <v>43759000</v>
      </c>
      <c r="L25" s="85"/>
      <c r="M25" s="15" t="s">
        <v>18</v>
      </c>
      <c r="N25" s="5"/>
      <c r="O25" s="5"/>
      <c r="P25" s="5"/>
      <c r="Q25" s="5"/>
      <c r="R25" s="5"/>
      <c r="S25" s="5"/>
      <c r="T25" s="9" t="s">
        <v>69</v>
      </c>
      <c r="U25" s="63">
        <f>SUM(U14:U24)</f>
        <v>40109500</v>
      </c>
    </row>
    <row r="26" spans="1:24" s="9" customFormat="1" ht="15.75" customHeight="1" x14ac:dyDescent="0.3">
      <c r="A26" s="33">
        <v>22</v>
      </c>
      <c r="B26" s="14" t="s">
        <v>8</v>
      </c>
      <c r="C26" s="29" t="s">
        <v>16</v>
      </c>
      <c r="D26" s="65">
        <v>23</v>
      </c>
      <c r="E26" s="6">
        <v>604</v>
      </c>
      <c r="F26" s="1">
        <v>6</v>
      </c>
      <c r="G26" s="69">
        <v>3807300</v>
      </c>
      <c r="H26" s="2">
        <v>38073000</v>
      </c>
      <c r="I26" s="76">
        <v>23</v>
      </c>
      <c r="J26" s="60">
        <f t="shared" si="0"/>
        <v>43073000</v>
      </c>
      <c r="K26" s="69">
        <v>43073000</v>
      </c>
      <c r="L26" s="85"/>
      <c r="M26" s="15"/>
      <c r="N26" s="5"/>
      <c r="O26" s="5"/>
      <c r="P26" s="5"/>
      <c r="Q26" s="5"/>
      <c r="R26" s="5"/>
      <c r="S26" s="5"/>
    </row>
    <row r="27" spans="1:24" s="9" customFormat="1" ht="15.75" customHeight="1" x14ac:dyDescent="0.3">
      <c r="A27" s="34">
        <v>23</v>
      </c>
      <c r="B27" s="14" t="s">
        <v>8</v>
      </c>
      <c r="C27" s="29" t="s">
        <v>16</v>
      </c>
      <c r="D27" s="65">
        <v>28</v>
      </c>
      <c r="E27" s="6">
        <v>704</v>
      </c>
      <c r="F27" s="1">
        <v>6</v>
      </c>
      <c r="G27" s="69">
        <v>3807300</v>
      </c>
      <c r="H27" s="2">
        <v>38073000</v>
      </c>
      <c r="I27" s="76">
        <v>28</v>
      </c>
      <c r="J27" s="60">
        <f t="shared" si="0"/>
        <v>43073000</v>
      </c>
      <c r="K27" s="69">
        <v>43073000</v>
      </c>
      <c r="L27" s="85"/>
      <c r="M27" s="15"/>
      <c r="N27" s="5"/>
      <c r="O27" s="5"/>
      <c r="P27" s="5"/>
      <c r="Q27" s="5"/>
      <c r="R27" s="5"/>
      <c r="S27" s="5"/>
    </row>
    <row r="28" spans="1:24" s="9" customFormat="1" ht="15.75" customHeight="1" x14ac:dyDescent="0.3">
      <c r="A28" s="34">
        <v>24</v>
      </c>
      <c r="B28" s="14" t="s">
        <v>8</v>
      </c>
      <c r="C28" s="29" t="s">
        <v>16</v>
      </c>
      <c r="D28" s="65">
        <v>37</v>
      </c>
      <c r="E28" s="1">
        <v>903</v>
      </c>
      <c r="F28" s="1">
        <v>6</v>
      </c>
      <c r="G28" s="69">
        <v>3841600</v>
      </c>
      <c r="H28" s="2">
        <v>38416000</v>
      </c>
      <c r="I28" s="76">
        <v>37</v>
      </c>
      <c r="J28" s="60">
        <f t="shared" si="0"/>
        <v>43416000</v>
      </c>
      <c r="K28" s="69">
        <v>43416000</v>
      </c>
      <c r="L28" s="85"/>
      <c r="M28" s="15"/>
      <c r="N28" s="5"/>
      <c r="O28" s="5"/>
      <c r="P28" s="5"/>
      <c r="Q28" s="55"/>
      <c r="R28" s="55">
        <f>SUM(G8:G15)</f>
        <v>31556000</v>
      </c>
      <c r="S28" s="5"/>
    </row>
    <row r="29" spans="1:24" s="9" customFormat="1" ht="15.75" customHeight="1" x14ac:dyDescent="0.3">
      <c r="A29" s="34">
        <v>25</v>
      </c>
      <c r="B29" s="14" t="s">
        <v>8</v>
      </c>
      <c r="C29" s="29" t="s">
        <v>16</v>
      </c>
      <c r="D29" s="65">
        <v>45</v>
      </c>
      <c r="E29" s="1">
        <v>1006</v>
      </c>
      <c r="F29" s="1">
        <v>6</v>
      </c>
      <c r="G29" s="69">
        <v>3841600</v>
      </c>
      <c r="H29" s="2">
        <v>38416000</v>
      </c>
      <c r="I29" s="76">
        <v>45</v>
      </c>
      <c r="J29" s="60">
        <f t="shared" si="0"/>
        <v>43416000</v>
      </c>
      <c r="K29" s="69">
        <v>43416000</v>
      </c>
      <c r="L29" s="85"/>
      <c r="M29" s="15"/>
      <c r="N29" s="5"/>
      <c r="O29" s="5" t="s">
        <v>70</v>
      </c>
      <c r="P29" s="5"/>
      <c r="Q29" s="5"/>
      <c r="R29" s="55">
        <f>SUM(G16:G22)</f>
        <v>28537600</v>
      </c>
      <c r="S29" s="5"/>
    </row>
    <row r="30" spans="1:24" s="9" customFormat="1" ht="15.75" customHeight="1" x14ac:dyDescent="0.3">
      <c r="A30" s="34">
        <v>26</v>
      </c>
      <c r="B30" s="14" t="s">
        <v>8</v>
      </c>
      <c r="C30" s="29" t="s">
        <v>16</v>
      </c>
      <c r="D30" s="65">
        <v>50</v>
      </c>
      <c r="E30" s="1">
        <v>1104</v>
      </c>
      <c r="F30" s="1">
        <v>6</v>
      </c>
      <c r="G30" s="69">
        <v>3875900</v>
      </c>
      <c r="H30" s="2">
        <v>38759000</v>
      </c>
      <c r="I30" s="76">
        <v>50</v>
      </c>
      <c r="J30" s="60">
        <f t="shared" si="0"/>
        <v>43759000</v>
      </c>
      <c r="K30" s="69">
        <v>43759000</v>
      </c>
      <c r="L30" s="85"/>
      <c r="M30" s="15"/>
      <c r="N30" s="5"/>
      <c r="O30" s="55">
        <f>SUM(O4,P5,Q5,R4,O14,P14,O23,P23)</f>
        <v>760000</v>
      </c>
      <c r="P30" s="5"/>
      <c r="Q30" s="5"/>
      <c r="R30" s="5"/>
      <c r="S30" s="5"/>
    </row>
    <row r="31" spans="1:24" s="9" customFormat="1" ht="15.75" customHeight="1" thickBot="1" x14ac:dyDescent="0.35">
      <c r="A31" s="36">
        <v>27</v>
      </c>
      <c r="B31" s="16" t="s">
        <v>8</v>
      </c>
      <c r="C31" s="31" t="s">
        <v>16</v>
      </c>
      <c r="D31" s="66">
        <v>59</v>
      </c>
      <c r="E31" s="17">
        <v>1206</v>
      </c>
      <c r="F31" s="17">
        <v>6</v>
      </c>
      <c r="G31" s="18">
        <v>3875900</v>
      </c>
      <c r="H31" s="18">
        <v>38759000</v>
      </c>
      <c r="I31" s="77">
        <v>59</v>
      </c>
      <c r="J31" s="60">
        <f t="shared" si="0"/>
        <v>43759000</v>
      </c>
      <c r="K31" s="69">
        <v>43759000</v>
      </c>
      <c r="L31" s="86"/>
      <c r="M31" s="19"/>
      <c r="N31" s="5"/>
      <c r="O31" s="5"/>
      <c r="P31" s="55"/>
      <c r="Q31" s="5"/>
      <c r="R31" s="55">
        <f>SUM(G23:G30)</f>
        <v>31453100</v>
      </c>
      <c r="S31" s="5"/>
    </row>
    <row r="32" spans="1:24" s="9" customFormat="1" ht="15.75" customHeight="1" x14ac:dyDescent="0.3">
      <c r="A32" s="33">
        <v>28</v>
      </c>
      <c r="B32" s="46" t="s">
        <v>8</v>
      </c>
      <c r="C32" s="26" t="s">
        <v>13</v>
      </c>
      <c r="D32" s="64">
        <v>17</v>
      </c>
      <c r="E32" s="11">
        <v>503</v>
      </c>
      <c r="F32" s="10">
        <v>6</v>
      </c>
      <c r="G32" s="12">
        <v>3738700</v>
      </c>
      <c r="H32" s="12">
        <v>37387000</v>
      </c>
      <c r="I32" s="75">
        <v>17</v>
      </c>
      <c r="J32" s="60">
        <f t="shared" si="0"/>
        <v>42387000</v>
      </c>
      <c r="K32" s="69">
        <v>42387000</v>
      </c>
      <c r="L32" s="84">
        <v>2</v>
      </c>
      <c r="M32" s="13" t="s">
        <v>20</v>
      </c>
      <c r="N32" s="5"/>
      <c r="O32" s="5"/>
      <c r="P32" s="5"/>
      <c r="Q32" s="5"/>
      <c r="R32" s="55">
        <f>SUM(G5:G7,G31:G35)</f>
        <v>32790800</v>
      </c>
      <c r="S32" s="5"/>
    </row>
    <row r="33" spans="1:19" s="9" customFormat="1" ht="15.75" customHeight="1" thickBot="1" x14ac:dyDescent="0.35">
      <c r="A33" s="36">
        <v>29</v>
      </c>
      <c r="B33" s="16" t="s">
        <v>8</v>
      </c>
      <c r="C33" s="27" t="s">
        <v>13</v>
      </c>
      <c r="D33" s="66">
        <v>42</v>
      </c>
      <c r="E33" s="17">
        <v>1003</v>
      </c>
      <c r="F33" s="17">
        <v>6</v>
      </c>
      <c r="G33" s="18">
        <v>3875900</v>
      </c>
      <c r="H33" s="18">
        <v>38759000</v>
      </c>
      <c r="I33" s="77">
        <v>42</v>
      </c>
      <c r="J33" s="60">
        <f t="shared" si="0"/>
        <v>43759000</v>
      </c>
      <c r="K33" s="69">
        <v>43759000</v>
      </c>
      <c r="L33" s="86"/>
      <c r="M33" s="19"/>
      <c r="N33" s="5"/>
      <c r="O33" s="5"/>
      <c r="P33" s="5"/>
      <c r="Q33" s="5"/>
      <c r="R33" s="55">
        <v>2569100</v>
      </c>
      <c r="S33" s="5"/>
    </row>
    <row r="34" spans="1:19" s="9" customFormat="1" ht="15.75" customHeight="1" x14ac:dyDescent="0.3">
      <c r="A34" s="33">
        <v>30</v>
      </c>
      <c r="B34" s="46" t="s">
        <v>8</v>
      </c>
      <c r="C34" s="26" t="s">
        <v>15</v>
      </c>
      <c r="D34" s="24">
        <v>21</v>
      </c>
      <c r="E34" s="11">
        <v>602</v>
      </c>
      <c r="F34" s="10">
        <v>8</v>
      </c>
      <c r="G34" s="12">
        <v>4527600</v>
      </c>
      <c r="H34" s="12">
        <v>45276000</v>
      </c>
      <c r="I34" s="79">
        <v>21</v>
      </c>
      <c r="J34" s="60">
        <f t="shared" si="0"/>
        <v>50276000</v>
      </c>
      <c r="K34" s="69">
        <v>50276000</v>
      </c>
      <c r="L34" s="84">
        <v>2</v>
      </c>
      <c r="M34" s="13" t="s">
        <v>19</v>
      </c>
      <c r="N34" s="5"/>
      <c r="O34" s="5"/>
      <c r="P34" s="5"/>
      <c r="Q34" s="5"/>
      <c r="R34" s="4">
        <v>2593100</v>
      </c>
      <c r="S34" s="5"/>
    </row>
    <row r="35" spans="1:19" s="9" customFormat="1" ht="15.75" customHeight="1" thickBot="1" x14ac:dyDescent="0.35">
      <c r="A35" s="36">
        <v>31</v>
      </c>
      <c r="B35" s="16" t="s">
        <v>8</v>
      </c>
      <c r="C35" s="27" t="s">
        <v>15</v>
      </c>
      <c r="D35" s="25">
        <v>43</v>
      </c>
      <c r="E35" s="17">
        <v>1004</v>
      </c>
      <c r="F35" s="17">
        <v>6</v>
      </c>
      <c r="G35" s="18">
        <v>3875900</v>
      </c>
      <c r="H35" s="18">
        <v>38759000</v>
      </c>
      <c r="I35" s="80">
        <v>43</v>
      </c>
      <c r="J35" s="60">
        <f t="shared" si="0"/>
        <v>43759000</v>
      </c>
      <c r="K35" s="60">
        <v>43759000</v>
      </c>
      <c r="L35" s="86"/>
      <c r="M35" s="19"/>
      <c r="N35" s="5"/>
      <c r="O35" s="5"/>
      <c r="P35" s="5"/>
      <c r="Q35" s="5"/>
      <c r="R35" s="55">
        <f>SUM(R32:R34)</f>
        <v>37953000</v>
      </c>
      <c r="S35" s="5"/>
    </row>
    <row r="36" spans="1:19" ht="15.75" customHeight="1" thickBot="1" x14ac:dyDescent="0.35">
      <c r="L36" s="88">
        <f>SUM(L5:L35)</f>
        <v>31</v>
      </c>
    </row>
    <row r="38" spans="1:19" ht="15.75" customHeight="1" x14ac:dyDescent="0.3">
      <c r="B38" s="50"/>
      <c r="C38" s="50" t="s">
        <v>24</v>
      </c>
      <c r="D38" s="50" t="s">
        <v>25</v>
      </c>
      <c r="E38" s="50" t="s">
        <v>26</v>
      </c>
      <c r="F38" s="50" t="s">
        <v>27</v>
      </c>
      <c r="I38" s="81" t="s">
        <v>25</v>
      </c>
    </row>
    <row r="39" spans="1:19" ht="15.75" customHeight="1" x14ac:dyDescent="0.3">
      <c r="B39" s="1" t="s">
        <v>28</v>
      </c>
      <c r="C39" s="1">
        <v>0</v>
      </c>
      <c r="D39" s="1">
        <v>0</v>
      </c>
      <c r="E39" s="1">
        <v>0</v>
      </c>
      <c r="F39" s="1"/>
      <c r="I39" s="82">
        <v>0</v>
      </c>
    </row>
    <row r="40" spans="1:19" ht="15.75" customHeight="1" x14ac:dyDescent="0.3">
      <c r="B40" s="1" t="s">
        <v>29</v>
      </c>
      <c r="C40" s="1">
        <v>0</v>
      </c>
      <c r="D40" s="1">
        <v>0</v>
      </c>
      <c r="E40" s="1">
        <v>0</v>
      </c>
      <c r="F40" s="1"/>
      <c r="I40" s="82">
        <v>0</v>
      </c>
    </row>
    <row r="41" spans="1:19" ht="15.75" customHeight="1" x14ac:dyDescent="0.3">
      <c r="B41" s="1" t="s">
        <v>30</v>
      </c>
      <c r="C41" s="1">
        <v>0</v>
      </c>
      <c r="D41" s="1">
        <v>0</v>
      </c>
      <c r="E41" s="1">
        <v>0</v>
      </c>
      <c r="F41" s="1"/>
      <c r="I41" s="82">
        <v>0</v>
      </c>
    </row>
    <row r="42" spans="1:19" ht="15.75" customHeight="1" x14ac:dyDescent="0.3">
      <c r="B42" s="1" t="s">
        <v>31</v>
      </c>
      <c r="C42" s="1">
        <v>0</v>
      </c>
      <c r="D42" s="1">
        <v>0</v>
      </c>
      <c r="E42" s="1">
        <v>0</v>
      </c>
      <c r="F42" s="1"/>
      <c r="I42" s="82">
        <v>0</v>
      </c>
    </row>
    <row r="43" spans="1:19" ht="15.75" customHeight="1" x14ac:dyDescent="0.3">
      <c r="B43" s="1" t="s">
        <v>32</v>
      </c>
      <c r="C43" s="1">
        <v>0</v>
      </c>
      <c r="D43" s="1">
        <v>0</v>
      </c>
      <c r="E43" s="1">
        <v>0</v>
      </c>
      <c r="F43" s="1"/>
      <c r="I43" s="82">
        <v>0</v>
      </c>
    </row>
    <row r="44" spans="1:19" ht="15.75" customHeight="1" x14ac:dyDescent="0.3">
      <c r="B44" s="1" t="s">
        <v>33</v>
      </c>
      <c r="C44" s="1">
        <v>0</v>
      </c>
      <c r="D44" s="1">
        <v>0</v>
      </c>
      <c r="E44" s="1">
        <v>0</v>
      </c>
      <c r="F44" s="1"/>
      <c r="I44" s="82">
        <v>0</v>
      </c>
    </row>
    <row r="45" spans="1:19" ht="15.75" customHeight="1" x14ac:dyDescent="0.3">
      <c r="B45" s="1" t="s">
        <v>34</v>
      </c>
      <c r="C45" s="1">
        <v>0</v>
      </c>
      <c r="D45" s="1">
        <v>0</v>
      </c>
      <c r="E45" s="1">
        <v>0</v>
      </c>
      <c r="F45" s="1"/>
      <c r="I45" s="82">
        <v>0</v>
      </c>
    </row>
    <row r="46" spans="1:19" ht="15.75" customHeight="1" x14ac:dyDescent="0.3">
      <c r="B46" s="1" t="s">
        <v>35</v>
      </c>
      <c r="C46" s="1">
        <v>0</v>
      </c>
      <c r="D46" s="1">
        <v>0</v>
      </c>
      <c r="E46" s="1">
        <v>0</v>
      </c>
      <c r="F46" s="1"/>
      <c r="I46" s="82">
        <v>0</v>
      </c>
    </row>
    <row r="47" spans="1:19" ht="15.75" customHeight="1" x14ac:dyDescent="0.3">
      <c r="B47" s="51"/>
      <c r="C47" s="51"/>
      <c r="D47" s="51"/>
      <c r="E47" s="51"/>
      <c r="F47" s="51"/>
      <c r="I47" s="51"/>
    </row>
    <row r="49" spans="2:2" ht="15.75" customHeight="1" x14ac:dyDescent="0.3">
      <c r="B49" s="5" t="s">
        <v>55</v>
      </c>
    </row>
    <row r="50" spans="2:2" ht="15.75" customHeight="1" x14ac:dyDescent="0.3">
      <c r="B50" s="5" t="s">
        <v>56</v>
      </c>
    </row>
    <row r="51" spans="2:2" ht="15.75" customHeight="1" x14ac:dyDescent="0.3">
      <c r="B51" s="5" t="s">
        <v>57</v>
      </c>
    </row>
    <row r="52" spans="2:2" ht="15.75" customHeight="1" x14ac:dyDescent="0.3">
      <c r="B52" s="5" t="s">
        <v>58</v>
      </c>
    </row>
    <row r="53" spans="2:2" ht="15.75" customHeight="1" x14ac:dyDescent="0.3">
      <c r="B53" s="5"/>
    </row>
    <row r="54" spans="2:2" ht="15.75" customHeight="1" x14ac:dyDescent="0.3">
      <c r="B54" s="5" t="s">
        <v>59</v>
      </c>
    </row>
    <row r="55" spans="2:2" ht="15.75" customHeight="1" x14ac:dyDescent="0.3">
      <c r="B55" s="5" t="s">
        <v>60</v>
      </c>
    </row>
    <row r="56" spans="2:2" ht="15.75" customHeight="1" x14ac:dyDescent="0.3">
      <c r="B56" s="5" t="s">
        <v>61</v>
      </c>
    </row>
    <row r="57" spans="2:2" ht="15.75" customHeight="1" x14ac:dyDescent="0.3">
      <c r="B57" s="5" t="s">
        <v>62</v>
      </c>
    </row>
  </sheetData>
  <autoFilter ref="A4:M4">
    <sortState ref="A5:K35">
      <sortCondition ref="C4"/>
    </sortState>
  </autoFilter>
  <phoneticPr fontId="1" type="noConversion"/>
  <conditionalFormatting sqref="D5:D35">
    <cfRule type="duplicateValues" dxfId="1" priority="2"/>
  </conditionalFormatting>
  <conditionalFormatting sqref="I5:I35">
    <cfRule type="duplicateValues" dxfId="0" priority="1"/>
  </conditionalFormatting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2"/>
  <sheetViews>
    <sheetView workbookViewId="0">
      <selection activeCell="J15" sqref="J15"/>
    </sheetView>
  </sheetViews>
  <sheetFormatPr defaultRowHeight="23.25" customHeight="1" x14ac:dyDescent="0.3"/>
  <cols>
    <col min="1" max="1" width="5.875" style="59" customWidth="1"/>
    <col min="2" max="2" width="17.375" style="51" customWidth="1"/>
    <col min="3" max="3" width="7" style="51" customWidth="1"/>
    <col min="4" max="4" width="11.375" style="51" customWidth="1"/>
    <col min="5" max="5" width="7.625" style="51" customWidth="1"/>
    <col min="6" max="7" width="6.625" style="51" customWidth="1"/>
    <col min="8" max="8" width="10.875" style="57" bestFit="1" customWidth="1"/>
    <col min="9" max="9" width="10.875" style="57" customWidth="1"/>
    <col min="10" max="10" width="7" style="51" customWidth="1"/>
    <col min="11" max="11" width="10.875" style="57" customWidth="1"/>
    <col min="12" max="12" width="9" style="51"/>
    <col min="13" max="13" width="25.25" style="51" bestFit="1" customWidth="1"/>
    <col min="14" max="14" width="11.25" style="51" customWidth="1"/>
    <col min="15" max="17" width="10.5" style="51" bestFit="1" customWidth="1"/>
    <col min="18" max="20" width="10.5" style="59" bestFit="1" customWidth="1"/>
    <col min="21" max="21" width="11.5" style="59" bestFit="1" customWidth="1"/>
    <col min="22" max="22" width="10.5" style="59" bestFit="1" customWidth="1"/>
    <col min="23" max="16384" width="9" style="59"/>
  </cols>
  <sheetData>
    <row r="1" spans="1:24" ht="23.25" customHeight="1" x14ac:dyDescent="0.3">
      <c r="A1" s="56" t="s">
        <v>36</v>
      </c>
      <c r="N1" s="3"/>
      <c r="O1" s="3"/>
      <c r="P1" s="3"/>
      <c r="Q1" s="3"/>
      <c r="R1" s="4"/>
      <c r="S1" s="4"/>
      <c r="T1" s="4"/>
      <c r="U1" s="58"/>
      <c r="V1" s="58"/>
      <c r="W1" s="58"/>
      <c r="X1" s="58"/>
    </row>
    <row r="2" spans="1:24" ht="23.25" customHeight="1" x14ac:dyDescent="0.3">
      <c r="A2" s="56" t="s">
        <v>37</v>
      </c>
      <c r="N2" s="3"/>
      <c r="O2" s="3"/>
      <c r="P2" s="3"/>
      <c r="Q2" s="3"/>
      <c r="R2" s="3"/>
      <c r="S2" s="3"/>
      <c r="T2" s="3"/>
      <c r="V2" s="58"/>
      <c r="W2" s="58"/>
      <c r="X2" s="58"/>
    </row>
    <row r="3" spans="1:24" ht="23.25" customHeight="1" x14ac:dyDescent="0.3">
      <c r="A3" s="56" t="s">
        <v>38</v>
      </c>
      <c r="N3" s="3"/>
      <c r="O3" s="3"/>
      <c r="P3" s="3"/>
      <c r="Q3" s="3"/>
      <c r="R3" s="3"/>
      <c r="S3" s="3"/>
      <c r="T3" s="3"/>
      <c r="V3" s="58"/>
      <c r="W3" s="58"/>
      <c r="X3" s="58"/>
    </row>
    <row r="4" spans="1:24" ht="23.25" customHeight="1" x14ac:dyDescent="0.3">
      <c r="A4" s="28" t="s">
        <v>39</v>
      </c>
      <c r="B4" s="28" t="s">
        <v>40</v>
      </c>
      <c r="C4" s="28" t="s">
        <v>41</v>
      </c>
      <c r="D4" s="28" t="s">
        <v>42</v>
      </c>
      <c r="E4" s="28" t="s">
        <v>43</v>
      </c>
      <c r="F4" s="28" t="s">
        <v>44</v>
      </c>
      <c r="G4" s="28" t="s">
        <v>45</v>
      </c>
      <c r="H4" s="60" t="s">
        <v>46</v>
      </c>
      <c r="I4" s="60" t="s">
        <v>73</v>
      </c>
      <c r="J4" s="28" t="s">
        <v>41</v>
      </c>
      <c r="K4" s="60" t="s">
        <v>74</v>
      </c>
      <c r="L4" s="28" t="s">
        <v>47</v>
      </c>
      <c r="M4" s="28" t="s">
        <v>48</v>
      </c>
      <c r="N4" s="3"/>
      <c r="O4" s="3"/>
      <c r="P4" s="3"/>
      <c r="Q4" s="3"/>
      <c r="R4" s="3"/>
      <c r="S4" s="3"/>
      <c r="T4" s="3"/>
      <c r="V4" s="58"/>
      <c r="W4" s="58"/>
      <c r="X4" s="58"/>
    </row>
    <row r="5" spans="1:24" s="5" customFormat="1" ht="23.25" customHeight="1" x14ac:dyDescent="0.3">
      <c r="A5" s="1">
        <v>4</v>
      </c>
      <c r="B5" s="1" t="s">
        <v>49</v>
      </c>
      <c r="C5" s="67">
        <v>14</v>
      </c>
      <c r="D5" s="1" t="s">
        <v>54</v>
      </c>
      <c r="E5" s="1" t="s">
        <v>51</v>
      </c>
      <c r="F5" s="6">
        <v>502</v>
      </c>
      <c r="G5" s="1">
        <v>7</v>
      </c>
      <c r="H5" s="2">
        <v>2569100</v>
      </c>
      <c r="I5" s="2">
        <v>25691000</v>
      </c>
      <c r="J5" s="67">
        <v>14</v>
      </c>
      <c r="K5" s="69">
        <f t="shared" ref="K5:K12" si="0">I5+5000000</f>
        <v>30691000</v>
      </c>
      <c r="L5" s="1"/>
      <c r="M5" s="1"/>
      <c r="N5" s="3"/>
      <c r="O5" s="3"/>
      <c r="P5" s="3"/>
      <c r="Q5" s="3"/>
      <c r="R5" s="3"/>
      <c r="S5" s="3"/>
      <c r="T5" s="3"/>
      <c r="V5" s="4"/>
      <c r="W5" s="4"/>
      <c r="X5" s="4"/>
    </row>
    <row r="6" spans="1:24" s="5" customFormat="1" ht="23.25" customHeight="1" x14ac:dyDescent="0.3">
      <c r="A6" s="1">
        <v>5</v>
      </c>
      <c r="B6" s="1" t="s">
        <v>49</v>
      </c>
      <c r="C6" s="67">
        <v>21</v>
      </c>
      <c r="D6" s="1" t="s">
        <v>54</v>
      </c>
      <c r="E6" s="1" t="s">
        <v>51</v>
      </c>
      <c r="F6" s="6">
        <v>701</v>
      </c>
      <c r="G6" s="1">
        <v>7</v>
      </c>
      <c r="H6" s="2">
        <v>2713100</v>
      </c>
      <c r="I6" s="2">
        <v>27131000</v>
      </c>
      <c r="J6" s="67">
        <v>21</v>
      </c>
      <c r="K6" s="69">
        <f t="shared" si="0"/>
        <v>32131000</v>
      </c>
      <c r="L6" s="1"/>
      <c r="M6" s="1"/>
      <c r="N6" s="3"/>
      <c r="O6" s="3"/>
      <c r="P6" s="3"/>
      <c r="Q6" s="3"/>
      <c r="R6" s="3"/>
      <c r="S6" s="3"/>
      <c r="T6" s="3"/>
      <c r="U6" s="57"/>
      <c r="V6" s="4"/>
      <c r="W6" s="4"/>
      <c r="X6" s="4"/>
    </row>
    <row r="7" spans="1:24" s="5" customFormat="1" ht="23.25" customHeight="1" x14ac:dyDescent="0.3">
      <c r="A7" s="1">
        <v>1</v>
      </c>
      <c r="B7" s="1" t="s">
        <v>49</v>
      </c>
      <c r="C7" s="67">
        <v>2</v>
      </c>
      <c r="D7" s="1" t="s">
        <v>50</v>
      </c>
      <c r="E7" s="1" t="s">
        <v>51</v>
      </c>
      <c r="F7" s="6">
        <v>202</v>
      </c>
      <c r="G7" s="1">
        <v>7</v>
      </c>
      <c r="H7" s="2">
        <v>2545100</v>
      </c>
      <c r="I7" s="2">
        <v>25451000</v>
      </c>
      <c r="J7" s="67">
        <v>2</v>
      </c>
      <c r="K7" s="69">
        <f t="shared" si="0"/>
        <v>30451000</v>
      </c>
      <c r="L7" s="1"/>
      <c r="M7" s="1"/>
      <c r="R7" s="4"/>
      <c r="S7" s="4"/>
      <c r="T7" s="4"/>
      <c r="U7" s="4"/>
      <c r="V7" s="4"/>
      <c r="W7" s="4"/>
      <c r="X7" s="4"/>
    </row>
    <row r="8" spans="1:24" s="5" customFormat="1" ht="23.25" customHeight="1" x14ac:dyDescent="0.3">
      <c r="A8" s="1">
        <v>7</v>
      </c>
      <c r="B8" s="1" t="s">
        <v>49</v>
      </c>
      <c r="C8" s="67">
        <v>32</v>
      </c>
      <c r="D8" s="1" t="s">
        <v>50</v>
      </c>
      <c r="E8" s="1" t="s">
        <v>51</v>
      </c>
      <c r="F8" s="6">
        <v>902</v>
      </c>
      <c r="G8" s="1">
        <v>7</v>
      </c>
      <c r="H8" s="2">
        <v>2593100</v>
      </c>
      <c r="I8" s="2">
        <v>25931000</v>
      </c>
      <c r="J8" s="67">
        <v>32</v>
      </c>
      <c r="K8" s="69">
        <f t="shared" si="0"/>
        <v>30931000</v>
      </c>
      <c r="L8" s="1"/>
      <c r="M8" s="1"/>
      <c r="N8" s="3"/>
      <c r="O8" s="3"/>
      <c r="P8" s="3"/>
      <c r="Q8" s="3"/>
      <c r="R8" s="4"/>
      <c r="S8" s="4"/>
      <c r="T8" s="4"/>
      <c r="U8" s="4"/>
      <c r="V8" s="4"/>
      <c r="W8" s="4"/>
      <c r="X8" s="4"/>
    </row>
    <row r="9" spans="1:24" s="5" customFormat="1" ht="23.25" customHeight="1" x14ac:dyDescent="0.3">
      <c r="A9" s="1">
        <v>2</v>
      </c>
      <c r="B9" s="1" t="s">
        <v>49</v>
      </c>
      <c r="C9" s="67">
        <v>6</v>
      </c>
      <c r="D9" s="1" t="s">
        <v>52</v>
      </c>
      <c r="E9" s="1" t="s">
        <v>51</v>
      </c>
      <c r="F9" s="6">
        <v>302</v>
      </c>
      <c r="G9" s="1">
        <v>7</v>
      </c>
      <c r="H9" s="2">
        <v>2545100</v>
      </c>
      <c r="I9" s="2">
        <v>25451000</v>
      </c>
      <c r="J9" s="67">
        <v>6</v>
      </c>
      <c r="K9" s="69">
        <f t="shared" si="0"/>
        <v>30451000</v>
      </c>
      <c r="L9" s="1"/>
      <c r="M9" s="1"/>
      <c r="N9" s="3"/>
      <c r="O9" s="3"/>
      <c r="P9" s="52"/>
      <c r="Q9" s="3"/>
      <c r="R9" s="4"/>
      <c r="S9" s="4"/>
      <c r="T9" s="4"/>
      <c r="U9" s="4"/>
      <c r="V9" s="4"/>
      <c r="W9" s="4"/>
      <c r="X9" s="4"/>
    </row>
    <row r="10" spans="1:24" s="5" customFormat="1" ht="23.25" customHeight="1" x14ac:dyDescent="0.3">
      <c r="A10" s="1">
        <v>6</v>
      </c>
      <c r="B10" s="1" t="s">
        <v>49</v>
      </c>
      <c r="C10" s="67">
        <v>26</v>
      </c>
      <c r="D10" s="1" t="s">
        <v>52</v>
      </c>
      <c r="E10" s="1" t="s">
        <v>51</v>
      </c>
      <c r="F10" s="6">
        <v>802</v>
      </c>
      <c r="G10" s="1">
        <v>7</v>
      </c>
      <c r="H10" s="2">
        <v>2593100</v>
      </c>
      <c r="I10" s="2">
        <v>25931000</v>
      </c>
      <c r="J10" s="67">
        <v>26</v>
      </c>
      <c r="K10" s="69">
        <f t="shared" si="0"/>
        <v>30931000</v>
      </c>
      <c r="L10" s="1"/>
      <c r="M10" s="1"/>
      <c r="N10" s="3"/>
      <c r="O10" s="3"/>
      <c r="P10" s="3"/>
      <c r="Q10" s="3"/>
      <c r="R10" s="4"/>
      <c r="S10" s="4"/>
      <c r="T10" s="4"/>
      <c r="U10" s="4"/>
      <c r="V10" s="4"/>
      <c r="W10" s="4"/>
      <c r="X10" s="4"/>
    </row>
    <row r="11" spans="1:24" s="5" customFormat="1" ht="23.25" customHeight="1" x14ac:dyDescent="0.3">
      <c r="A11" s="1">
        <v>3</v>
      </c>
      <c r="B11" s="1" t="s">
        <v>49</v>
      </c>
      <c r="C11" s="67">
        <v>10</v>
      </c>
      <c r="D11" s="1" t="s">
        <v>53</v>
      </c>
      <c r="E11" s="1" t="s">
        <v>51</v>
      </c>
      <c r="F11" s="6">
        <v>402</v>
      </c>
      <c r="G11" s="1">
        <v>7</v>
      </c>
      <c r="H11" s="2">
        <v>2569100</v>
      </c>
      <c r="I11" s="2">
        <v>25691000</v>
      </c>
      <c r="J11" s="67">
        <v>10</v>
      </c>
      <c r="K11" s="69">
        <f t="shared" si="0"/>
        <v>30691000</v>
      </c>
      <c r="L11" s="1"/>
      <c r="M11" s="1"/>
      <c r="N11" s="3"/>
      <c r="O11" s="3"/>
      <c r="P11" s="3"/>
      <c r="Q11" s="3"/>
      <c r="R11" s="4"/>
      <c r="S11" s="4"/>
      <c r="T11" s="4"/>
      <c r="U11" s="4"/>
      <c r="V11" s="4"/>
      <c r="W11" s="4"/>
      <c r="X11" s="4"/>
    </row>
    <row r="12" spans="1:24" s="5" customFormat="1" ht="23.25" customHeight="1" x14ac:dyDescent="0.3">
      <c r="A12" s="1">
        <v>8</v>
      </c>
      <c r="B12" s="1" t="s">
        <v>49</v>
      </c>
      <c r="C12" s="67">
        <v>38</v>
      </c>
      <c r="D12" s="1" t="s">
        <v>53</v>
      </c>
      <c r="E12" s="1" t="s">
        <v>51</v>
      </c>
      <c r="F12" s="6">
        <v>1002</v>
      </c>
      <c r="G12" s="1">
        <v>7</v>
      </c>
      <c r="H12" s="2">
        <v>2593100</v>
      </c>
      <c r="I12" s="2">
        <v>25931000</v>
      </c>
      <c r="J12" s="67">
        <v>38</v>
      </c>
      <c r="K12" s="69">
        <f t="shared" si="0"/>
        <v>30931000</v>
      </c>
      <c r="L12" s="1"/>
      <c r="M12" s="1"/>
      <c r="N12" s="3"/>
      <c r="O12" s="3"/>
      <c r="P12" s="3"/>
      <c r="Q12" s="3"/>
      <c r="R12" s="4"/>
      <c r="S12" s="4"/>
      <c r="T12" s="4"/>
      <c r="U12" s="4"/>
      <c r="V12" s="4"/>
      <c r="W12" s="4"/>
      <c r="X12" s="4"/>
    </row>
  </sheetData>
  <autoFilter ref="A4:M12">
    <sortState ref="A5:M12">
      <sortCondition descending="1" ref="D4:D12"/>
    </sortState>
  </autoFilter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1</vt:i4>
      </vt:variant>
    </vt:vector>
  </HeadingPairs>
  <TitlesOfParts>
    <vt:vector size="5" baseType="lpstr">
      <vt:lpstr>다물건</vt:lpstr>
      <vt:lpstr>진행비 표</vt:lpstr>
      <vt:lpstr>수목하우스</vt:lpstr>
      <vt:lpstr>포세이돈비</vt:lpstr>
      <vt:lpstr>수목하우스!Print_Area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MJ경매-이쁜언니</dc:creator>
  <cp:lastModifiedBy>ace</cp:lastModifiedBy>
  <cp:lastPrinted>2026-05-12T01:48:54Z</cp:lastPrinted>
  <dcterms:created xsi:type="dcterms:W3CDTF">2026-03-27T06:23:47Z</dcterms:created>
  <dcterms:modified xsi:type="dcterms:W3CDTF">2026-06-18T08:34:32Z</dcterms:modified>
</cp:coreProperties>
</file>