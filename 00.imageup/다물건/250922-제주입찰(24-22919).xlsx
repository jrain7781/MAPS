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570"/>
  </bookViews>
  <sheets>
    <sheet name="Sheet2" sheetId="2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E37" i="2" l="1"/>
  <c r="E36" i="2"/>
  <c r="G36" i="2" s="1"/>
  <c r="H36" i="2" s="1"/>
  <c r="D36" i="2"/>
  <c r="E30" i="2"/>
  <c r="D30" i="2"/>
  <c r="E29" i="2"/>
  <c r="D29" i="2"/>
  <c r="G23" i="2"/>
  <c r="H23" i="2" s="1"/>
  <c r="F37" i="2"/>
  <c r="E4" i="2"/>
  <c r="E5" i="2"/>
  <c r="E6" i="2"/>
  <c r="E7" i="2"/>
  <c r="E8" i="2"/>
  <c r="G8" i="2" s="1"/>
  <c r="H8" i="2" s="1"/>
  <c r="E9" i="2"/>
  <c r="E10" i="2"/>
  <c r="E11" i="2"/>
  <c r="E12" i="2"/>
  <c r="E13" i="2"/>
  <c r="E14" i="2"/>
  <c r="G14" i="2" s="1"/>
  <c r="H14" i="2" s="1"/>
  <c r="E15" i="2"/>
  <c r="E16" i="2"/>
  <c r="E17" i="2"/>
  <c r="E18" i="2"/>
  <c r="E19" i="2"/>
  <c r="E20" i="2"/>
  <c r="G20" i="2" s="1"/>
  <c r="H20" i="2" s="1"/>
  <c r="E21" i="2"/>
  <c r="E22" i="2"/>
  <c r="E23" i="2"/>
  <c r="E24" i="2"/>
  <c r="E25" i="2"/>
  <c r="E26" i="2"/>
  <c r="E27" i="2"/>
  <c r="G27" i="2" s="1"/>
  <c r="H27" i="2" s="1"/>
  <c r="E28" i="2"/>
  <c r="E31" i="2"/>
  <c r="E32" i="2"/>
  <c r="E33" i="2"/>
  <c r="E34" i="2"/>
  <c r="E35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31" i="2"/>
  <c r="D32" i="2"/>
  <c r="D33" i="2"/>
  <c r="D34" i="2"/>
  <c r="D35" i="2"/>
  <c r="D3" i="2"/>
  <c r="E3" i="2"/>
  <c r="G25" i="2" l="1"/>
  <c r="H25" i="2" s="1"/>
  <c r="G31" i="2"/>
  <c r="H31" i="2" s="1"/>
  <c r="G29" i="2"/>
  <c r="H29" i="2" s="1"/>
  <c r="G34" i="2"/>
  <c r="H34" i="2" s="1"/>
  <c r="G9" i="2"/>
  <c r="H9" i="2" s="1"/>
  <c r="G3" i="2"/>
  <c r="H3" i="2" s="1"/>
  <c r="G11" i="2"/>
  <c r="H11" i="2" s="1"/>
  <c r="G15" i="2"/>
  <c r="H15" i="2" s="1"/>
  <c r="G21" i="2"/>
  <c r="H21" i="2" s="1"/>
</calcChain>
</file>

<file path=xl/sharedStrings.xml><?xml version="1.0" encoding="utf-8"?>
<sst xmlns="http://schemas.openxmlformats.org/spreadsheetml/2006/main" count="58" uniqueCount="36">
  <si>
    <t>No</t>
  </si>
  <si>
    <t>전자/서류</t>
  </si>
  <si>
    <t>최저입찰가</t>
  </si>
  <si>
    <t>입찰가</t>
  </si>
  <si>
    <t>보증금</t>
  </si>
  <si>
    <t>진행비</t>
  </si>
  <si>
    <t>이름/명의자</t>
    <phoneticPr fontId="3" type="noConversion"/>
  </si>
  <si>
    <t>보증금합계</t>
    <phoneticPr fontId="3" type="noConversion"/>
  </si>
  <si>
    <t>입금</t>
    <phoneticPr fontId="3" type="noConversion"/>
  </si>
  <si>
    <t>이승희/이승희</t>
    <phoneticPr fontId="3" type="noConversion"/>
  </si>
  <si>
    <t>전자</t>
    <phoneticPr fontId="3" type="noConversion"/>
  </si>
  <si>
    <t>김무회/김무회</t>
    <phoneticPr fontId="3" type="noConversion"/>
  </si>
  <si>
    <t>박명희/박명희</t>
    <phoneticPr fontId="3" type="noConversion"/>
  </si>
  <si>
    <t>이효진/이효진</t>
    <phoneticPr fontId="3" type="noConversion"/>
  </si>
  <si>
    <t>한우리/한우리</t>
    <phoneticPr fontId="3" type="noConversion"/>
  </si>
  <si>
    <t>전동완/김나영</t>
    <phoneticPr fontId="3" type="noConversion"/>
  </si>
  <si>
    <t>허미선/김성섭</t>
    <phoneticPr fontId="3" type="noConversion"/>
  </si>
  <si>
    <t>정정화/정정화</t>
    <phoneticPr fontId="3" type="noConversion"/>
  </si>
  <si>
    <t>O</t>
    <phoneticPr fontId="3" type="noConversion"/>
  </si>
  <si>
    <t>임효진/임효진</t>
    <phoneticPr fontId="3" type="noConversion"/>
  </si>
  <si>
    <t>임현주/임현주</t>
    <phoneticPr fontId="3" type="noConversion"/>
  </si>
  <si>
    <t>합계</t>
    <phoneticPr fontId="3" type="noConversion"/>
  </si>
  <si>
    <t>서류</t>
    <phoneticPr fontId="3" type="noConversion"/>
  </si>
  <si>
    <t>안주호/안주호</t>
    <phoneticPr fontId="3" type="noConversion"/>
  </si>
  <si>
    <t>이정후/이정후</t>
    <phoneticPr fontId="3" type="noConversion"/>
  </si>
  <si>
    <t>최승현/최승현</t>
    <phoneticPr fontId="3" type="noConversion"/>
  </si>
  <si>
    <t>허성순</t>
    <phoneticPr fontId="3" type="noConversion"/>
  </si>
  <si>
    <t>이명희/임우승</t>
    <phoneticPr fontId="3" type="noConversion"/>
  </si>
  <si>
    <t>특이사항</t>
    <phoneticPr fontId="3" type="noConversion"/>
  </si>
  <si>
    <t>PDF파일 카톡공유</t>
    <phoneticPr fontId="3" type="noConversion"/>
  </si>
  <si>
    <t>서류
(발송중)</t>
    <phoneticPr fontId="3" type="noConversion"/>
  </si>
  <si>
    <t>입찰준비 완료</t>
    <phoneticPr fontId="3" type="noConversion"/>
  </si>
  <si>
    <t>입찰준비완료</t>
    <phoneticPr fontId="3" type="noConversion"/>
  </si>
  <si>
    <t>대리인
도장확인</t>
    <phoneticPr fontId="3" type="noConversion"/>
  </si>
  <si>
    <t>대출가능시
법인명의로
입찰서류작성 요망</t>
    <phoneticPr fontId="3" type="noConversion"/>
  </si>
  <si>
    <t>입금액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</si>
</sst>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41" fontId="0" fillId="0" borderId="0" xfId="1" applyFont="1">
      <alignment vertical="center"/>
    </xf>
    <xf numFmtId="0" fontId="4" fillId="4" borderId="3" xfId="2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1" fontId="6" fillId="0" borderId="0" xfId="1" applyFont="1">
      <alignment vertical="center"/>
    </xf>
    <xf numFmtId="0" fontId="7" fillId="4" borderId="2" xfId="2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41" fontId="4" fillId="2" borderId="14" xfId="1" applyFont="1" applyFill="1" applyBorder="1" applyAlignment="1">
      <alignment horizontal="center" vertical="center"/>
    </xf>
    <xf numFmtId="41" fontId="5" fillId="0" borderId="5" xfId="1" applyFont="1" applyBorder="1">
      <alignment vertical="center"/>
    </xf>
    <xf numFmtId="41" fontId="5" fillId="0" borderId="5" xfId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1" fontId="5" fillId="0" borderId="1" xfId="1" applyFont="1" applyBorder="1">
      <alignment vertical="center"/>
    </xf>
    <xf numFmtId="41" fontId="5" fillId="0" borderId="1" xfId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1" fontId="5" fillId="0" borderId="9" xfId="1" applyFont="1" applyBorder="1">
      <alignment vertical="center"/>
    </xf>
    <xf numFmtId="41" fontId="5" fillId="0" borderId="9" xfId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1" fontId="5" fillId="0" borderId="3" xfId="1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1" fontId="5" fillId="0" borderId="10" xfId="1" applyFon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1" fontId="5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0" fontId="5" fillId="0" borderId="0" xfId="0" applyFont="1">
      <alignment vertical="center"/>
    </xf>
    <xf numFmtId="41" fontId="7" fillId="4" borderId="11" xfId="1" applyFont="1" applyFill="1" applyBorder="1" applyAlignment="1">
      <alignment horizontal="center" vertical="center"/>
    </xf>
  </cellXfs>
  <cellStyles count="6">
    <cellStyle name="쉼표 [0]" xfId="1" builtinId="6"/>
    <cellStyle name="쉼표 [0] 2" xfId="5"/>
    <cellStyle name="표준" xfId="0" builtinId="0"/>
    <cellStyle name="표준 2" xfId="3"/>
    <cellStyle name="표준 3" xfId="4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zoomScale="90" zoomScaleNormal="90" workbookViewId="0">
      <selection activeCell="E38" sqref="E38"/>
    </sheetView>
  </sheetViews>
  <sheetFormatPr defaultColWidth="13.75" defaultRowHeight="16.5" x14ac:dyDescent="0.3"/>
  <cols>
    <col min="1" max="1" width="4.375" style="47" customWidth="1"/>
    <col min="2" max="2" width="11.875" style="48" customWidth="1"/>
    <col min="3" max="3" width="10" style="48" customWidth="1"/>
    <col min="4" max="4" width="10.75" style="1" customWidth="1"/>
    <col min="5" max="5" width="12.875" style="1" customWidth="1"/>
    <col min="6" max="6" width="10.5" style="1" customWidth="1"/>
    <col min="7" max="7" width="11" style="1" customWidth="1"/>
    <col min="8" max="8" width="10.75" style="1" customWidth="1"/>
    <col min="9" max="9" width="6.375" style="47" customWidth="1"/>
    <col min="10" max="10" width="15.5" style="48" customWidth="1"/>
    <col min="11" max="11" width="11.25" style="20" customWidth="1"/>
    <col min="12" max="12" width="13.75" style="1"/>
    <col min="13" max="16384" width="13.75" style="48"/>
  </cols>
  <sheetData>
    <row r="1" spans="1:12" ht="17.25" thickBot="1" x14ac:dyDescent="0.35"/>
    <row r="2" spans="1:12" s="56" customFormat="1" ht="14.25" thickBot="1" x14ac:dyDescent="0.35">
      <c r="A2" s="21" t="s">
        <v>0</v>
      </c>
      <c r="B2" s="2" t="s">
        <v>6</v>
      </c>
      <c r="C2" s="2" t="s">
        <v>1</v>
      </c>
      <c r="D2" s="22" t="s">
        <v>3</v>
      </c>
      <c r="E2" s="22" t="s">
        <v>4</v>
      </c>
      <c r="F2" s="22" t="s">
        <v>5</v>
      </c>
      <c r="G2" s="22" t="s">
        <v>7</v>
      </c>
      <c r="H2" s="22" t="s">
        <v>35</v>
      </c>
      <c r="I2" s="23" t="s">
        <v>8</v>
      </c>
      <c r="J2" s="24" t="s">
        <v>28</v>
      </c>
      <c r="K2" s="57" t="s">
        <v>2</v>
      </c>
      <c r="L2" s="53">
        <v>1800000</v>
      </c>
    </row>
    <row r="3" spans="1:12" x14ac:dyDescent="0.3">
      <c r="A3" s="49">
        <v>43</v>
      </c>
      <c r="B3" s="3" t="s">
        <v>9</v>
      </c>
      <c r="C3" s="3" t="s">
        <v>10</v>
      </c>
      <c r="D3" s="25">
        <f>K3+$L$2</f>
        <v>48105000</v>
      </c>
      <c r="E3" s="25">
        <f>K3*0.1</f>
        <v>4630500</v>
      </c>
      <c r="F3" s="26">
        <v>300000</v>
      </c>
      <c r="G3" s="26">
        <f>SUM(E3:E7)</f>
        <v>22809500</v>
      </c>
      <c r="H3" s="26">
        <f>SUM(F3:G7)</f>
        <v>23109500</v>
      </c>
      <c r="I3" s="27" t="s">
        <v>18</v>
      </c>
      <c r="J3" s="28" t="s">
        <v>31</v>
      </c>
      <c r="K3" s="20">
        <v>46305000</v>
      </c>
    </row>
    <row r="4" spans="1:12" x14ac:dyDescent="0.3">
      <c r="A4" s="50">
        <v>37</v>
      </c>
      <c r="B4" s="4"/>
      <c r="C4" s="4"/>
      <c r="D4" s="29">
        <f>K4+$L$2</f>
        <v>48105000</v>
      </c>
      <c r="E4" s="29">
        <f>K4*0.1</f>
        <v>4630500</v>
      </c>
      <c r="F4" s="30"/>
      <c r="G4" s="30"/>
      <c r="H4" s="30"/>
      <c r="I4" s="31"/>
      <c r="J4" s="32"/>
      <c r="K4" s="20">
        <v>46305000</v>
      </c>
    </row>
    <row r="5" spans="1:12" x14ac:dyDescent="0.3">
      <c r="A5" s="50">
        <v>28</v>
      </c>
      <c r="B5" s="4"/>
      <c r="C5" s="4"/>
      <c r="D5" s="29">
        <f>K5+$L$2</f>
        <v>48105000</v>
      </c>
      <c r="E5" s="29">
        <f>K5*0.1</f>
        <v>4630500</v>
      </c>
      <c r="F5" s="30"/>
      <c r="G5" s="30"/>
      <c r="H5" s="30"/>
      <c r="I5" s="31"/>
      <c r="J5" s="32"/>
      <c r="K5" s="20">
        <v>46305000</v>
      </c>
    </row>
    <row r="6" spans="1:12" x14ac:dyDescent="0.3">
      <c r="A6" s="50">
        <v>27</v>
      </c>
      <c r="B6" s="4"/>
      <c r="C6" s="4"/>
      <c r="D6" s="29">
        <f>K6+$L$2</f>
        <v>46047000</v>
      </c>
      <c r="E6" s="29">
        <f>K6*0.1</f>
        <v>4424700</v>
      </c>
      <c r="F6" s="30"/>
      <c r="G6" s="30"/>
      <c r="H6" s="30"/>
      <c r="I6" s="31"/>
      <c r="J6" s="32"/>
      <c r="K6" s="20">
        <v>44247000</v>
      </c>
    </row>
    <row r="7" spans="1:12" ht="17.25" thickBot="1" x14ac:dyDescent="0.35">
      <c r="A7" s="51">
        <v>19</v>
      </c>
      <c r="B7" s="5"/>
      <c r="C7" s="5"/>
      <c r="D7" s="33">
        <f>K7+$L$2</f>
        <v>46733000</v>
      </c>
      <c r="E7" s="33">
        <f>K7*0.1</f>
        <v>4493300</v>
      </c>
      <c r="F7" s="34"/>
      <c r="G7" s="34"/>
      <c r="H7" s="34"/>
      <c r="I7" s="35"/>
      <c r="J7" s="32"/>
      <c r="K7" s="20">
        <v>44933000</v>
      </c>
    </row>
    <row r="8" spans="1:12" ht="17.25" thickBot="1" x14ac:dyDescent="0.35">
      <c r="A8" s="50">
        <v>13</v>
      </c>
      <c r="B8" s="6" t="s">
        <v>11</v>
      </c>
      <c r="C8" s="6" t="s">
        <v>10</v>
      </c>
      <c r="D8" s="29">
        <f>K8+$L$2</f>
        <v>46733000</v>
      </c>
      <c r="E8" s="29">
        <f>K8*0.1</f>
        <v>4493300</v>
      </c>
      <c r="F8" s="29">
        <v>80000</v>
      </c>
      <c r="G8" s="29">
        <f>E8</f>
        <v>4493300</v>
      </c>
      <c r="H8" s="29">
        <f>SUM(F8:G8)</f>
        <v>4573300</v>
      </c>
      <c r="I8" s="36" t="s">
        <v>18</v>
      </c>
      <c r="J8" s="32"/>
      <c r="K8" s="20">
        <v>44933000</v>
      </c>
    </row>
    <row r="9" spans="1:12" x14ac:dyDescent="0.3">
      <c r="A9" s="49">
        <v>39</v>
      </c>
      <c r="B9" s="3" t="s">
        <v>12</v>
      </c>
      <c r="C9" s="3" t="s">
        <v>10</v>
      </c>
      <c r="D9" s="25">
        <f>K9+$L$2</f>
        <v>48105000</v>
      </c>
      <c r="E9" s="25">
        <f>K9*0.1</f>
        <v>4630500</v>
      </c>
      <c r="F9" s="26">
        <v>150000</v>
      </c>
      <c r="G9" s="26">
        <f>SUM(E9:E10)</f>
        <v>9158100</v>
      </c>
      <c r="H9" s="26">
        <f>SUM(F9:G10)</f>
        <v>9308100</v>
      </c>
      <c r="I9" s="27" t="s">
        <v>18</v>
      </c>
      <c r="J9" s="32"/>
      <c r="K9" s="20">
        <v>46305000</v>
      </c>
    </row>
    <row r="10" spans="1:12" ht="17.25" thickBot="1" x14ac:dyDescent="0.35">
      <c r="A10" s="51">
        <v>7</v>
      </c>
      <c r="B10" s="5"/>
      <c r="C10" s="5"/>
      <c r="D10" s="33">
        <f>K10+$L$2</f>
        <v>47076000</v>
      </c>
      <c r="E10" s="33">
        <f>K10*0.1</f>
        <v>4527600</v>
      </c>
      <c r="F10" s="34"/>
      <c r="G10" s="34"/>
      <c r="H10" s="34"/>
      <c r="I10" s="35"/>
      <c r="J10" s="32"/>
      <c r="K10" s="20">
        <v>45276000</v>
      </c>
    </row>
    <row r="11" spans="1:12" x14ac:dyDescent="0.3">
      <c r="A11" s="50">
        <v>35</v>
      </c>
      <c r="B11" s="3" t="s">
        <v>13</v>
      </c>
      <c r="C11" s="3" t="s">
        <v>10</v>
      </c>
      <c r="D11" s="29">
        <f>K11+$L$2</f>
        <v>48105000</v>
      </c>
      <c r="E11" s="29">
        <f>K11*0.1</f>
        <v>4630500</v>
      </c>
      <c r="F11" s="26">
        <v>210000</v>
      </c>
      <c r="G11" s="26">
        <f>SUM(E11:E13)</f>
        <v>13788600</v>
      </c>
      <c r="H11" s="26">
        <f>SUM(F11:G13)</f>
        <v>13998600</v>
      </c>
      <c r="I11" s="27" t="s">
        <v>18</v>
      </c>
      <c r="J11" s="32"/>
      <c r="K11" s="20">
        <v>46305000</v>
      </c>
    </row>
    <row r="12" spans="1:12" x14ac:dyDescent="0.3">
      <c r="A12" s="50">
        <v>26</v>
      </c>
      <c r="B12" s="4"/>
      <c r="C12" s="4"/>
      <c r="D12" s="29">
        <f>K12+$L$2</f>
        <v>48448000</v>
      </c>
      <c r="E12" s="29">
        <f>K12*0.1</f>
        <v>4664800</v>
      </c>
      <c r="F12" s="30"/>
      <c r="G12" s="30"/>
      <c r="H12" s="30"/>
      <c r="I12" s="31"/>
      <c r="J12" s="32"/>
      <c r="K12" s="20">
        <v>46648000</v>
      </c>
    </row>
    <row r="13" spans="1:12" ht="17.25" thickBot="1" x14ac:dyDescent="0.35">
      <c r="A13" s="50">
        <v>6</v>
      </c>
      <c r="B13" s="4"/>
      <c r="C13" s="4"/>
      <c r="D13" s="29">
        <f>K13+$L$2</f>
        <v>46733000</v>
      </c>
      <c r="E13" s="29">
        <f>K13*0.1</f>
        <v>4493300</v>
      </c>
      <c r="F13" s="30"/>
      <c r="G13" s="30"/>
      <c r="H13" s="30"/>
      <c r="I13" s="31"/>
      <c r="J13" s="32"/>
      <c r="K13" s="20">
        <v>44933000</v>
      </c>
    </row>
    <row r="14" spans="1:12" ht="17.25" thickBot="1" x14ac:dyDescent="0.35">
      <c r="A14" s="52">
        <v>25</v>
      </c>
      <c r="B14" s="7" t="s">
        <v>14</v>
      </c>
      <c r="C14" s="7" t="s">
        <v>10</v>
      </c>
      <c r="D14" s="37">
        <f>K14+$L$2</f>
        <v>48448000</v>
      </c>
      <c r="E14" s="37">
        <f>K14*0.1</f>
        <v>4664800</v>
      </c>
      <c r="F14" s="37">
        <v>80000</v>
      </c>
      <c r="G14" s="37">
        <f>E14</f>
        <v>4664800</v>
      </c>
      <c r="H14" s="37">
        <f>SUM(F14:G14)</f>
        <v>4744800</v>
      </c>
      <c r="I14" s="38" t="s">
        <v>18</v>
      </c>
      <c r="J14" s="39"/>
      <c r="K14" s="20">
        <v>46648000</v>
      </c>
    </row>
    <row r="15" spans="1:12" x14ac:dyDescent="0.3">
      <c r="A15" s="50">
        <v>14</v>
      </c>
      <c r="B15" s="8" t="s">
        <v>15</v>
      </c>
      <c r="C15" s="8" t="s">
        <v>10</v>
      </c>
      <c r="D15" s="29">
        <f>K15+$L$2</f>
        <v>46733000</v>
      </c>
      <c r="E15" s="29">
        <f>K15*0.1</f>
        <v>4493300</v>
      </c>
      <c r="F15" s="26">
        <v>300000</v>
      </c>
      <c r="G15" s="26">
        <f>SUM(E15:E19)</f>
        <v>22878100</v>
      </c>
      <c r="H15" s="26">
        <f>SUM(F15:G19)</f>
        <v>23178100</v>
      </c>
      <c r="I15" s="27" t="s">
        <v>18</v>
      </c>
      <c r="J15" s="28" t="s">
        <v>32</v>
      </c>
      <c r="K15" s="20">
        <v>44933000</v>
      </c>
    </row>
    <row r="16" spans="1:12" x14ac:dyDescent="0.3">
      <c r="A16" s="50">
        <v>15</v>
      </c>
      <c r="B16" s="9"/>
      <c r="C16" s="9"/>
      <c r="D16" s="29">
        <f>K16+$L$2</f>
        <v>46733000</v>
      </c>
      <c r="E16" s="29">
        <f>K16*0.1</f>
        <v>4493300</v>
      </c>
      <c r="F16" s="30"/>
      <c r="G16" s="30"/>
      <c r="H16" s="30"/>
      <c r="I16" s="31"/>
      <c r="J16" s="32"/>
      <c r="K16" s="20">
        <v>44933000</v>
      </c>
    </row>
    <row r="17" spans="1:11" x14ac:dyDescent="0.3">
      <c r="A17" s="50">
        <v>23</v>
      </c>
      <c r="B17" s="9"/>
      <c r="C17" s="9"/>
      <c r="D17" s="29">
        <f>K17+$L$2</f>
        <v>48105000</v>
      </c>
      <c r="E17" s="29">
        <f>K17*0.1</f>
        <v>4630500</v>
      </c>
      <c r="F17" s="30"/>
      <c r="G17" s="30"/>
      <c r="H17" s="30"/>
      <c r="I17" s="31"/>
      <c r="J17" s="32"/>
      <c r="K17" s="20">
        <v>46305000</v>
      </c>
    </row>
    <row r="18" spans="1:11" x14ac:dyDescent="0.3">
      <c r="A18" s="50">
        <v>24</v>
      </c>
      <c r="B18" s="9"/>
      <c r="C18" s="9"/>
      <c r="D18" s="29">
        <f>K18+$L$2</f>
        <v>48105000</v>
      </c>
      <c r="E18" s="29">
        <f>K18*0.1</f>
        <v>4630500</v>
      </c>
      <c r="F18" s="30"/>
      <c r="G18" s="30"/>
      <c r="H18" s="30"/>
      <c r="I18" s="31"/>
      <c r="J18" s="32"/>
      <c r="K18" s="20">
        <v>46305000</v>
      </c>
    </row>
    <row r="19" spans="1:11" ht="17.25" thickBot="1" x14ac:dyDescent="0.35">
      <c r="A19" s="50">
        <v>31</v>
      </c>
      <c r="B19" s="9"/>
      <c r="C19" s="9"/>
      <c r="D19" s="29">
        <f>K19+$L$2</f>
        <v>48105000</v>
      </c>
      <c r="E19" s="29">
        <f>K19*0.1</f>
        <v>4630500</v>
      </c>
      <c r="F19" s="30"/>
      <c r="G19" s="30"/>
      <c r="H19" s="30"/>
      <c r="I19" s="31"/>
      <c r="J19" s="32"/>
      <c r="K19" s="20">
        <v>46305000</v>
      </c>
    </row>
    <row r="20" spans="1:11" ht="17.25" thickBot="1" x14ac:dyDescent="0.35">
      <c r="A20" s="52">
        <v>16</v>
      </c>
      <c r="B20" s="10" t="s">
        <v>16</v>
      </c>
      <c r="C20" s="10" t="s">
        <v>10</v>
      </c>
      <c r="D20" s="37">
        <f>K20+$L$2</f>
        <v>47076000</v>
      </c>
      <c r="E20" s="37">
        <f>K20*0.1</f>
        <v>4527600</v>
      </c>
      <c r="F20" s="37">
        <v>80000</v>
      </c>
      <c r="G20" s="37">
        <f>E20</f>
        <v>4527600</v>
      </c>
      <c r="H20" s="37">
        <f>SUM(F20:G20)</f>
        <v>4607600</v>
      </c>
      <c r="I20" s="38" t="s">
        <v>18</v>
      </c>
      <c r="J20" s="32"/>
      <c r="K20" s="20">
        <v>45276000</v>
      </c>
    </row>
    <row r="21" spans="1:11" x14ac:dyDescent="0.3">
      <c r="A21" s="50">
        <v>41</v>
      </c>
      <c r="B21" s="8" t="s">
        <v>17</v>
      </c>
      <c r="C21" s="8" t="s">
        <v>10</v>
      </c>
      <c r="D21" s="29">
        <f>K21+$L$2</f>
        <v>48448000</v>
      </c>
      <c r="E21" s="29">
        <f>K21*0.1</f>
        <v>4664800</v>
      </c>
      <c r="F21" s="26">
        <v>150000</v>
      </c>
      <c r="G21" s="26">
        <f>SUM(E21:E22)</f>
        <v>9158100</v>
      </c>
      <c r="H21" s="26">
        <f>SUM(F21:G22)</f>
        <v>9308100</v>
      </c>
      <c r="I21" s="27" t="s">
        <v>18</v>
      </c>
      <c r="J21" s="32"/>
      <c r="K21" s="20">
        <v>46648000</v>
      </c>
    </row>
    <row r="22" spans="1:11" ht="17.25" thickBot="1" x14ac:dyDescent="0.35">
      <c r="A22" s="50">
        <v>9</v>
      </c>
      <c r="B22" s="9"/>
      <c r="C22" s="9"/>
      <c r="D22" s="29">
        <f>K22+$L$2</f>
        <v>46733000</v>
      </c>
      <c r="E22" s="29">
        <f>K22*0.1</f>
        <v>4493300</v>
      </c>
      <c r="F22" s="30"/>
      <c r="G22" s="34"/>
      <c r="H22" s="34"/>
      <c r="I22" s="35"/>
      <c r="J22" s="32"/>
      <c r="K22" s="20">
        <v>44933000</v>
      </c>
    </row>
    <row r="23" spans="1:11" x14ac:dyDescent="0.3">
      <c r="A23" s="49">
        <v>40</v>
      </c>
      <c r="B23" s="8" t="s">
        <v>23</v>
      </c>
      <c r="C23" s="8" t="s">
        <v>10</v>
      </c>
      <c r="D23" s="25">
        <f>K23+$L$2</f>
        <v>48105000</v>
      </c>
      <c r="E23" s="25">
        <f>K23*0.1</f>
        <v>4630500</v>
      </c>
      <c r="F23" s="26">
        <v>150000</v>
      </c>
      <c r="G23" s="26">
        <f>SUM(E23:E24)</f>
        <v>9158100</v>
      </c>
      <c r="H23" s="26">
        <f>SUM(F23:G24)</f>
        <v>9308100</v>
      </c>
      <c r="I23" s="40"/>
      <c r="J23" s="32"/>
      <c r="K23" s="20">
        <v>46305000</v>
      </c>
    </row>
    <row r="24" spans="1:11" ht="17.25" thickBot="1" x14ac:dyDescent="0.35">
      <c r="A24" s="51">
        <v>8</v>
      </c>
      <c r="B24" s="11"/>
      <c r="C24" s="11"/>
      <c r="D24" s="33">
        <f>K24+$L$2</f>
        <v>47076000</v>
      </c>
      <c r="E24" s="33">
        <f>K24*0.1</f>
        <v>4527600</v>
      </c>
      <c r="F24" s="34"/>
      <c r="G24" s="34"/>
      <c r="H24" s="34"/>
      <c r="I24" s="41"/>
      <c r="J24" s="39"/>
      <c r="K24" s="20">
        <v>45276000</v>
      </c>
    </row>
    <row r="25" spans="1:11" x14ac:dyDescent="0.3">
      <c r="A25" s="50">
        <v>34</v>
      </c>
      <c r="B25" s="12" t="s">
        <v>20</v>
      </c>
      <c r="C25" s="13" t="s">
        <v>22</v>
      </c>
      <c r="D25" s="29">
        <f>K25+$L$2</f>
        <v>48448000</v>
      </c>
      <c r="E25" s="29">
        <f>K25*0.1</f>
        <v>4664800</v>
      </c>
      <c r="F25" s="26">
        <v>150000</v>
      </c>
      <c r="G25" s="26">
        <f>SUM(E25:E26)</f>
        <v>9158100</v>
      </c>
      <c r="H25" s="26">
        <f>SUM(F25:G26)</f>
        <v>9308100</v>
      </c>
      <c r="I25" s="40"/>
      <c r="J25" s="42" t="s">
        <v>33</v>
      </c>
      <c r="K25" s="20">
        <v>46648000</v>
      </c>
    </row>
    <row r="26" spans="1:11" ht="17.25" thickBot="1" x14ac:dyDescent="0.35">
      <c r="A26" s="50">
        <v>5</v>
      </c>
      <c r="B26" s="12"/>
      <c r="C26" s="14"/>
      <c r="D26" s="29">
        <f>K26+$L$2</f>
        <v>46733000</v>
      </c>
      <c r="E26" s="29">
        <f>K26*0.1</f>
        <v>4493300</v>
      </c>
      <c r="F26" s="34"/>
      <c r="G26" s="34"/>
      <c r="H26" s="34"/>
      <c r="I26" s="41"/>
      <c r="J26" s="32"/>
      <c r="K26" s="20">
        <v>44933000</v>
      </c>
    </row>
    <row r="27" spans="1:11" x14ac:dyDescent="0.3">
      <c r="A27" s="49">
        <v>32</v>
      </c>
      <c r="B27" s="13" t="s">
        <v>25</v>
      </c>
      <c r="C27" s="13" t="s">
        <v>22</v>
      </c>
      <c r="D27" s="25">
        <f>K27+$L$2</f>
        <v>48105000</v>
      </c>
      <c r="E27" s="25">
        <f>K27*0.1</f>
        <v>4630500</v>
      </c>
      <c r="F27" s="26">
        <v>150000</v>
      </c>
      <c r="G27" s="26">
        <f>SUM(E27:E28)</f>
        <v>9123800</v>
      </c>
      <c r="H27" s="26">
        <f>SUM(F27:G28)</f>
        <v>9273800</v>
      </c>
      <c r="I27" s="40"/>
      <c r="J27" s="32"/>
      <c r="K27" s="20">
        <v>46305000</v>
      </c>
    </row>
    <row r="28" spans="1:11" ht="17.25" thickBot="1" x14ac:dyDescent="0.35">
      <c r="A28" s="51">
        <v>18</v>
      </c>
      <c r="B28" s="14"/>
      <c r="C28" s="14"/>
      <c r="D28" s="33">
        <f>K28+$L$2</f>
        <v>46733000</v>
      </c>
      <c r="E28" s="33">
        <f>K28*0.1</f>
        <v>4493300</v>
      </c>
      <c r="F28" s="34"/>
      <c r="G28" s="34"/>
      <c r="H28" s="34"/>
      <c r="I28" s="41"/>
      <c r="J28" s="32"/>
      <c r="K28" s="20">
        <v>44933000</v>
      </c>
    </row>
    <row r="29" spans="1:11" x14ac:dyDescent="0.3">
      <c r="A29" s="49">
        <v>1</v>
      </c>
      <c r="B29" s="13" t="s">
        <v>19</v>
      </c>
      <c r="C29" s="13" t="s">
        <v>22</v>
      </c>
      <c r="D29" s="25">
        <f t="shared" ref="D29:D30" si="0">K29+$L$2</f>
        <v>46733000</v>
      </c>
      <c r="E29" s="25">
        <f t="shared" ref="E29:E30" si="1">K29*0.1</f>
        <v>4493300</v>
      </c>
      <c r="F29" s="26">
        <v>150000</v>
      </c>
      <c r="G29" s="26">
        <f>SUM(E29:E30)</f>
        <v>8986600</v>
      </c>
      <c r="H29" s="26">
        <f>SUM(F29:G30)</f>
        <v>9136600</v>
      </c>
      <c r="I29" s="27" t="s">
        <v>18</v>
      </c>
      <c r="J29" s="32"/>
      <c r="K29" s="20">
        <v>44933000</v>
      </c>
    </row>
    <row r="30" spans="1:11" ht="17.25" thickBot="1" x14ac:dyDescent="0.35">
      <c r="A30" s="51">
        <v>2</v>
      </c>
      <c r="B30" s="14"/>
      <c r="C30" s="14"/>
      <c r="D30" s="33">
        <f t="shared" si="0"/>
        <v>46733000</v>
      </c>
      <c r="E30" s="33">
        <f t="shared" si="1"/>
        <v>4493300</v>
      </c>
      <c r="F30" s="34"/>
      <c r="G30" s="34"/>
      <c r="H30" s="34"/>
      <c r="I30" s="35"/>
      <c r="J30" s="39"/>
      <c r="K30" s="20">
        <v>44933000</v>
      </c>
    </row>
    <row r="31" spans="1:11" ht="17.25" thickBot="1" x14ac:dyDescent="0.35">
      <c r="A31" s="50">
        <v>42</v>
      </c>
      <c r="B31" s="15" t="s">
        <v>26</v>
      </c>
      <c r="C31" s="16" t="s">
        <v>30</v>
      </c>
      <c r="D31" s="29">
        <f>K31+$L$2</f>
        <v>48105000</v>
      </c>
      <c r="E31" s="29">
        <f>K31*0.1</f>
        <v>4630500</v>
      </c>
      <c r="F31" s="26">
        <v>210000</v>
      </c>
      <c r="G31" s="26">
        <f>SUM(E31:E33)</f>
        <v>13754300</v>
      </c>
      <c r="H31" s="26">
        <f>SUM(F31:G33)</f>
        <v>13964300</v>
      </c>
      <c r="I31" s="40"/>
      <c r="J31" s="43" t="s">
        <v>34</v>
      </c>
      <c r="K31" s="20">
        <v>46305000</v>
      </c>
    </row>
    <row r="32" spans="1:11" ht="17.25" thickBot="1" x14ac:dyDescent="0.35">
      <c r="A32" s="50">
        <v>36</v>
      </c>
      <c r="B32" s="15"/>
      <c r="C32" s="15"/>
      <c r="D32" s="29">
        <f>K32+$L$2</f>
        <v>48105000</v>
      </c>
      <c r="E32" s="29">
        <f>K32*0.1</f>
        <v>4630500</v>
      </c>
      <c r="F32" s="30"/>
      <c r="G32" s="30"/>
      <c r="H32" s="30"/>
      <c r="I32" s="44"/>
      <c r="J32" s="45"/>
      <c r="K32" s="20">
        <v>46305000</v>
      </c>
    </row>
    <row r="33" spans="1:11" ht="17.25" thickBot="1" x14ac:dyDescent="0.35">
      <c r="A33" s="50">
        <v>10</v>
      </c>
      <c r="B33" s="15"/>
      <c r="C33" s="15"/>
      <c r="D33" s="29">
        <f>K33+$L$2</f>
        <v>46733000</v>
      </c>
      <c r="E33" s="29">
        <f>K33*0.1</f>
        <v>4493300</v>
      </c>
      <c r="F33" s="34"/>
      <c r="G33" s="34"/>
      <c r="H33" s="34"/>
      <c r="I33" s="41"/>
      <c r="J33" s="45"/>
      <c r="K33" s="20">
        <v>44933000</v>
      </c>
    </row>
    <row r="34" spans="1:11" ht="17.25" thickBot="1" x14ac:dyDescent="0.35">
      <c r="A34" s="49">
        <v>33</v>
      </c>
      <c r="B34" s="17" t="s">
        <v>27</v>
      </c>
      <c r="C34" s="17" t="s">
        <v>10</v>
      </c>
      <c r="D34" s="25">
        <f>K34+$L$2</f>
        <v>48105000</v>
      </c>
      <c r="E34" s="25">
        <f>K34*0.1</f>
        <v>4630500</v>
      </c>
      <c r="F34" s="26">
        <v>150000</v>
      </c>
      <c r="G34" s="26">
        <f>SUM(E34:E35)</f>
        <v>9123800</v>
      </c>
      <c r="H34" s="26">
        <f>SUM(F34:G35)</f>
        <v>9273800</v>
      </c>
      <c r="I34" s="27" t="s">
        <v>18</v>
      </c>
      <c r="J34" s="45" t="s">
        <v>29</v>
      </c>
      <c r="K34" s="20">
        <v>46305000</v>
      </c>
    </row>
    <row r="35" spans="1:11" ht="17.25" thickBot="1" x14ac:dyDescent="0.35">
      <c r="A35" s="51">
        <v>4</v>
      </c>
      <c r="B35" s="18"/>
      <c r="C35" s="18"/>
      <c r="D35" s="33">
        <f>K35+$L$2</f>
        <v>46733000</v>
      </c>
      <c r="E35" s="33">
        <f>K35*0.1</f>
        <v>4493300</v>
      </c>
      <c r="F35" s="34"/>
      <c r="G35" s="34"/>
      <c r="H35" s="34"/>
      <c r="I35" s="35"/>
      <c r="J35" s="45"/>
      <c r="K35" s="20">
        <v>44933000</v>
      </c>
    </row>
    <row r="36" spans="1:11" ht="17.25" thickBot="1" x14ac:dyDescent="0.35">
      <c r="A36" s="52">
        <v>22</v>
      </c>
      <c r="B36" s="19" t="s">
        <v>24</v>
      </c>
      <c r="C36" s="19" t="s">
        <v>10</v>
      </c>
      <c r="D36" s="37">
        <f t="shared" ref="D36" si="2">K36+$L$2</f>
        <v>48105000</v>
      </c>
      <c r="E36" s="37">
        <f t="shared" ref="E36" si="3">K36*0.1</f>
        <v>4630500</v>
      </c>
      <c r="F36" s="37">
        <v>80000</v>
      </c>
      <c r="G36" s="37">
        <f>E36</f>
        <v>4630500</v>
      </c>
      <c r="H36" s="37">
        <f>SUM(F36:G36)</f>
        <v>4710500</v>
      </c>
      <c r="I36" s="38" t="s">
        <v>18</v>
      </c>
      <c r="J36" s="45"/>
      <c r="K36" s="20">
        <v>46305000</v>
      </c>
    </row>
    <row r="37" spans="1:11" ht="17.25" thickBot="1" x14ac:dyDescent="0.35">
      <c r="D37" s="55" t="s">
        <v>21</v>
      </c>
      <c r="E37" s="37">
        <f>SUM(E3:E36)</f>
        <v>155413300</v>
      </c>
      <c r="F37" s="46">
        <f>SUM(F3:F35)</f>
        <v>2310000</v>
      </c>
      <c r="G37" s="53"/>
      <c r="H37" s="53"/>
      <c r="I37" s="54"/>
    </row>
  </sheetData>
  <mergeCells count="71">
    <mergeCell ref="I27:I28"/>
    <mergeCell ref="J34:J36"/>
    <mergeCell ref="J31:J33"/>
    <mergeCell ref="J3:J14"/>
    <mergeCell ref="J15:J24"/>
    <mergeCell ref="J25:J30"/>
    <mergeCell ref="F27:F28"/>
    <mergeCell ref="F31:F33"/>
    <mergeCell ref="G31:G33"/>
    <mergeCell ref="H31:H33"/>
    <mergeCell ref="I31:I33"/>
    <mergeCell ref="G25:G26"/>
    <mergeCell ref="H25:H26"/>
    <mergeCell ref="I25:I26"/>
    <mergeCell ref="G27:G28"/>
    <mergeCell ref="H27:H28"/>
    <mergeCell ref="B34:B35"/>
    <mergeCell ref="C34:C35"/>
    <mergeCell ref="F34:F35"/>
    <mergeCell ref="G34:G35"/>
    <mergeCell ref="H34:H35"/>
    <mergeCell ref="I34:I35"/>
    <mergeCell ref="F29:F30"/>
    <mergeCell ref="G29:G30"/>
    <mergeCell ref="H29:H30"/>
    <mergeCell ref="I29:I30"/>
    <mergeCell ref="B31:B33"/>
    <mergeCell ref="C31:C33"/>
    <mergeCell ref="B27:B28"/>
    <mergeCell ref="C23:C24"/>
    <mergeCell ref="C25:C26"/>
    <mergeCell ref="C27:C28"/>
    <mergeCell ref="B29:B30"/>
    <mergeCell ref="C29:C30"/>
    <mergeCell ref="H21:H22"/>
    <mergeCell ref="I21:I22"/>
    <mergeCell ref="F23:F24"/>
    <mergeCell ref="G23:G24"/>
    <mergeCell ref="H23:H24"/>
    <mergeCell ref="I23:I24"/>
    <mergeCell ref="B21:B22"/>
    <mergeCell ref="C21:C22"/>
    <mergeCell ref="F21:F22"/>
    <mergeCell ref="B23:B24"/>
    <mergeCell ref="B25:B26"/>
    <mergeCell ref="G21:G22"/>
    <mergeCell ref="F25:F26"/>
    <mergeCell ref="B15:B19"/>
    <mergeCell ref="C15:C19"/>
    <mergeCell ref="F15:F19"/>
    <mergeCell ref="G15:G19"/>
    <mergeCell ref="H15:H19"/>
    <mergeCell ref="I15:I19"/>
    <mergeCell ref="B11:B13"/>
    <mergeCell ref="C11:C13"/>
    <mergeCell ref="F11:F13"/>
    <mergeCell ref="G11:G13"/>
    <mergeCell ref="H11:H13"/>
    <mergeCell ref="I11:I13"/>
    <mergeCell ref="F9:F10"/>
    <mergeCell ref="G9:G10"/>
    <mergeCell ref="H9:H10"/>
    <mergeCell ref="I9:I10"/>
    <mergeCell ref="C9:C10"/>
    <mergeCell ref="B9:B10"/>
    <mergeCell ref="B3:B7"/>
    <mergeCell ref="C3:C7"/>
    <mergeCell ref="H3:H7"/>
    <mergeCell ref="F3:F7"/>
    <mergeCell ref="G3:G7"/>
    <mergeCell ref="I3:I7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AI</cp:lastModifiedBy>
  <cp:lastPrinted>2025-09-21T15:42:32Z</cp:lastPrinted>
  <dcterms:created xsi:type="dcterms:W3CDTF">2025-09-20T14:36:43Z</dcterms:created>
  <dcterms:modified xsi:type="dcterms:W3CDTF">2025-09-21T16:09:27Z</dcterms:modified>
</cp:coreProperties>
</file>