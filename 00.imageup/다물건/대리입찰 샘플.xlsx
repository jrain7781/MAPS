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8595" windowHeight="12345"/>
  </bookViews>
  <sheets>
    <sheet name="입찰리스트" sheetId="1" r:id="rId1"/>
    <sheet name="위임장-개인" sheetId="4" r:id="rId2"/>
    <sheet name="기일입찰표-개인" sheetId="5" r:id="rId3"/>
    <sheet name="위임장-법인" sheetId="10" r:id="rId4"/>
    <sheet name="기일입찰표-법인" sheetId="11" r:id="rId5"/>
    <sheet name="Sheet2" sheetId="13" r:id="rId6"/>
  </sheets>
  <definedNames>
    <definedName name="_xlnm.Print_Area" localSheetId="2">'기일입찰표-개인'!$A$1:$AA$25</definedName>
    <definedName name="_xlnm.Print_Area" localSheetId="4">'기일입찰표-법인'!$A$1:$AA$25</definedName>
    <definedName name="_xlnm.Print_Area" localSheetId="1">'위임장-개인'!$A$1:$L$28</definedName>
    <definedName name="_xlnm.Print_Area" localSheetId="3">'위임장-법인'!$A$1:$L$28</definedName>
  </definedNames>
  <calcPr calcId="144525"/>
</workbook>
</file>

<file path=xl/calcChain.xml><?xml version="1.0" encoding="utf-8"?>
<calcChain xmlns="http://schemas.openxmlformats.org/spreadsheetml/2006/main">
  <c r="L11" i="10" l="1"/>
  <c r="L11" i="4"/>
  <c r="C21" i="1"/>
  <c r="F13" i="10" l="1"/>
  <c r="F13" i="4"/>
  <c r="C23" i="1" l="1"/>
  <c r="C22" i="1"/>
  <c r="Z17" i="11"/>
  <c r="Y17" i="11"/>
  <c r="X17" i="11"/>
  <c r="W17" i="11"/>
  <c r="V17" i="11"/>
  <c r="U17" i="11"/>
  <c r="T17" i="11"/>
  <c r="S17" i="11"/>
  <c r="R17" i="11"/>
  <c r="Q17" i="11"/>
  <c r="P17" i="11"/>
  <c r="Q17" i="5"/>
  <c r="R17" i="5"/>
  <c r="S17" i="5"/>
  <c r="T17" i="5"/>
  <c r="U17" i="5"/>
  <c r="V17" i="5"/>
  <c r="W17" i="5"/>
  <c r="X17" i="5"/>
  <c r="Y17" i="5"/>
  <c r="Z17" i="5"/>
  <c r="P17" i="5"/>
  <c r="C24" i="1"/>
  <c r="K8" i="11" l="1"/>
  <c r="T7" i="11"/>
  <c r="K7" i="11"/>
  <c r="K5" i="11"/>
  <c r="U22" i="11"/>
  <c r="M17" i="11"/>
  <c r="L17" i="11"/>
  <c r="K17" i="11"/>
  <c r="J17" i="11"/>
  <c r="I17" i="11"/>
  <c r="H17" i="11"/>
  <c r="G17" i="11"/>
  <c r="F17" i="11"/>
  <c r="E17" i="11"/>
  <c r="D17" i="11"/>
  <c r="C17" i="11"/>
  <c r="B17" i="11"/>
  <c r="K14" i="11"/>
  <c r="V12" i="11"/>
  <c r="K12" i="11"/>
  <c r="K10" i="11"/>
  <c r="V5" i="11"/>
  <c r="R4" i="11"/>
  <c r="C4" i="11"/>
  <c r="U3" i="11"/>
  <c r="G3" i="11"/>
  <c r="A3" i="11"/>
  <c r="H26" i="10"/>
  <c r="D18" i="10"/>
  <c r="D17" i="10"/>
  <c r="D16" i="10"/>
  <c r="I17" i="10"/>
  <c r="I16" i="10"/>
  <c r="H11" i="10"/>
  <c r="E11" i="10"/>
  <c r="A11" i="10"/>
  <c r="D5" i="10"/>
  <c r="I4" i="10"/>
  <c r="D4" i="10"/>
  <c r="I3" i="10"/>
  <c r="D3" i="10"/>
  <c r="U22" i="5"/>
  <c r="K14" i="5"/>
  <c r="V12" i="5"/>
  <c r="K12" i="5"/>
  <c r="K10" i="5"/>
  <c r="K8" i="5"/>
  <c r="K7" i="5"/>
  <c r="V5" i="5"/>
  <c r="K5" i="5"/>
  <c r="G3" i="5"/>
  <c r="A3" i="5"/>
  <c r="U3" i="5"/>
  <c r="R4" i="5"/>
  <c r="C4" i="5"/>
  <c r="H26" i="4"/>
  <c r="E11" i="4"/>
  <c r="A11" i="4"/>
  <c r="D18" i="4"/>
  <c r="I17" i="4"/>
  <c r="D17" i="4"/>
  <c r="I16" i="4"/>
  <c r="D16" i="4"/>
  <c r="H11" i="4"/>
  <c r="D5" i="4"/>
  <c r="I4" i="4"/>
  <c r="D4" i="4"/>
  <c r="I3" i="4"/>
  <c r="D3" i="4"/>
  <c r="C17" i="5" l="1"/>
  <c r="D17" i="5"/>
  <c r="E17" i="5"/>
  <c r="F17" i="5"/>
  <c r="G17" i="5"/>
  <c r="H17" i="5"/>
  <c r="I17" i="5"/>
  <c r="J17" i="5"/>
  <c r="K17" i="5"/>
  <c r="L17" i="5"/>
  <c r="M17" i="5"/>
  <c r="B17" i="5"/>
</calcChain>
</file>

<file path=xl/sharedStrings.xml><?xml version="1.0" encoding="utf-8"?>
<sst xmlns="http://schemas.openxmlformats.org/spreadsheetml/2006/main" count="324" uniqueCount="214">
  <si>
    <t>위       임       장</t>
    <phoneticPr fontId="2" type="noConversion"/>
  </si>
  <si>
    <t>대리인</t>
    <phoneticPr fontId="2" type="noConversion"/>
  </si>
  <si>
    <t>성           명</t>
    <phoneticPr fontId="2" type="noConversion"/>
  </si>
  <si>
    <t>직      업</t>
    <phoneticPr fontId="2" type="noConversion"/>
  </si>
  <si>
    <t>주민등록번호</t>
    <phoneticPr fontId="2" type="noConversion"/>
  </si>
  <si>
    <t>전화번호</t>
    <phoneticPr fontId="2" type="noConversion"/>
  </si>
  <si>
    <t>주           소</t>
    <phoneticPr fontId="2" type="noConversion"/>
  </si>
  <si>
    <t>위 사람을 대리인으로 정하고 다음 사항을 위임함.</t>
    <phoneticPr fontId="2" type="noConversion"/>
  </si>
  <si>
    <t>다        음</t>
    <phoneticPr fontId="2" type="noConversion"/>
  </si>
  <si>
    <t>지방법원</t>
    <phoneticPr fontId="2" type="noConversion"/>
  </si>
  <si>
    <t>지원</t>
    <phoneticPr fontId="2" type="noConversion"/>
  </si>
  <si>
    <t>호</t>
    <phoneticPr fontId="2" type="noConversion"/>
  </si>
  <si>
    <t>위 경매사건에 관한 입찰행위 일체</t>
    <phoneticPr fontId="2" type="noConversion"/>
  </si>
  <si>
    <t>본인</t>
    <phoneticPr fontId="2" type="noConversion"/>
  </si>
  <si>
    <t>서명</t>
    <phoneticPr fontId="2" type="noConversion"/>
  </si>
  <si>
    <t>(인)</t>
    <phoneticPr fontId="2" type="noConversion"/>
  </si>
  <si>
    <t>지방법원 귀중</t>
    <phoneticPr fontId="2" type="noConversion"/>
  </si>
  <si>
    <t>[전산양식 A3360] 기일입찰표(흰색)                                               용지규격 210mmX297mm(A4용지)</t>
    <phoneticPr fontId="2" type="noConversion"/>
  </si>
  <si>
    <t>기  일  입  찰  표</t>
    <phoneticPr fontId="2" type="noConversion"/>
  </si>
  <si>
    <t>지방법원</t>
    <phoneticPr fontId="2" type="noConversion"/>
  </si>
  <si>
    <t>지원 집행관 귀하</t>
  </si>
  <si>
    <t>입찰기일 :</t>
    <phoneticPr fontId="2" type="noConversion"/>
  </si>
  <si>
    <t>일</t>
    <phoneticPr fontId="2" type="noConversion"/>
  </si>
  <si>
    <t>사건
번호</t>
    <phoneticPr fontId="2" type="noConversion"/>
  </si>
  <si>
    <t>호</t>
    <phoneticPr fontId="2" type="noConversion"/>
  </si>
  <si>
    <t>물건
번호</t>
    <phoneticPr fontId="2" type="noConversion"/>
  </si>
  <si>
    <t>입  찰  자</t>
    <phoneticPr fontId="2" type="noConversion"/>
  </si>
  <si>
    <t>본 인</t>
    <phoneticPr fontId="2" type="noConversion"/>
  </si>
  <si>
    <t>성     명</t>
    <phoneticPr fontId="2" type="noConversion"/>
  </si>
  <si>
    <t>전화번호</t>
    <phoneticPr fontId="2" type="noConversion"/>
  </si>
  <si>
    <t>주민(사업자)
등 록 번 호</t>
    <phoneticPr fontId="2" type="noConversion"/>
  </si>
  <si>
    <t>법인등록
번      호</t>
    <phoneticPr fontId="2" type="noConversion"/>
  </si>
  <si>
    <t>주     소</t>
    <phoneticPr fontId="2" type="noConversion"/>
  </si>
  <si>
    <t>대리인</t>
    <phoneticPr fontId="2" type="noConversion"/>
  </si>
  <si>
    <t>성      명</t>
    <phoneticPr fontId="2" type="noConversion"/>
  </si>
  <si>
    <t>(인)</t>
    <phoneticPr fontId="2" type="noConversion"/>
  </si>
  <si>
    <t>본인과의
관      계</t>
    <phoneticPr fontId="2" type="noConversion"/>
  </si>
  <si>
    <t>지인</t>
    <phoneticPr fontId="2" type="noConversion"/>
  </si>
  <si>
    <t>주민등록
번      호</t>
    <phoneticPr fontId="2" type="noConversion"/>
  </si>
  <si>
    <t>주      소</t>
    <phoneticPr fontId="2" type="noConversion"/>
  </si>
  <si>
    <t>입찰
가격</t>
    <phoneticPr fontId="2" type="noConversion"/>
  </si>
  <si>
    <t>천억</t>
    <phoneticPr fontId="2" type="noConversion"/>
  </si>
  <si>
    <t>백억</t>
    <phoneticPr fontId="2" type="noConversion"/>
  </si>
  <si>
    <t>십억</t>
    <phoneticPr fontId="2" type="noConversion"/>
  </si>
  <si>
    <t>억</t>
    <phoneticPr fontId="2" type="noConversion"/>
  </si>
  <si>
    <t>천만</t>
    <phoneticPr fontId="2" type="noConversion"/>
  </si>
  <si>
    <t>백만</t>
    <phoneticPr fontId="2" type="noConversion"/>
  </si>
  <si>
    <t>십만</t>
    <phoneticPr fontId="2" type="noConversion"/>
  </si>
  <si>
    <t>만</t>
    <phoneticPr fontId="2" type="noConversion"/>
  </si>
  <si>
    <t>천</t>
    <phoneticPr fontId="2" type="noConversion"/>
  </si>
  <si>
    <t>백</t>
    <phoneticPr fontId="2" type="noConversion"/>
  </si>
  <si>
    <t>십</t>
    <phoneticPr fontId="2" type="noConversion"/>
  </si>
  <si>
    <t>원</t>
    <phoneticPr fontId="2" type="noConversion"/>
  </si>
  <si>
    <t>보증
금액</t>
    <phoneticPr fontId="2" type="noConversion"/>
  </si>
  <si>
    <t xml:space="preserve"> 보증의
 제공방법</t>
    <phoneticPr fontId="2" type="noConversion"/>
  </si>
  <si>
    <t>V</t>
    <phoneticPr fontId="2" type="noConversion"/>
  </si>
  <si>
    <t>현금,자기앞수표</t>
    <phoneticPr fontId="2" type="noConversion"/>
  </si>
  <si>
    <t xml:space="preserve">  보증을 반환 받았습니다.</t>
    <phoneticPr fontId="2" type="noConversion"/>
  </si>
  <si>
    <t>보증서</t>
    <phoneticPr fontId="2" type="noConversion"/>
  </si>
  <si>
    <t>입찰자 대리인</t>
    <phoneticPr fontId="2" type="noConversion"/>
  </si>
  <si>
    <r>
      <rPr>
        <b/>
        <sz val="10"/>
        <color theme="1"/>
        <rFont val="함초롬바탕"/>
        <family val="1"/>
        <charset val="129"/>
      </rPr>
      <t>주의사항.</t>
    </r>
    <r>
      <rPr>
        <sz val="10"/>
        <color theme="1"/>
        <rFont val="함초롬바탕"/>
        <family val="1"/>
        <charset val="129"/>
      </rPr>
      <t xml:space="preserve">
  1. 입찰표는 물건마다 별도의 용지를 사용하십시오, 다만, 일괄입찰시에는 1매의 용지를 사용하십시오.
  2. 한 사건에서 입찰물건이 여러개 있고 그 물건들이 개별적으로 입찰에 부쳐진 경우에는 사건번호외에 물건번호를 기재하십시오.
  3. 입찰자가 법인인 경우에는 본인의 성명란에 법인의 명칭과 대표자의 지위 및 성명을, 주민등록란에는 입찰자가 개인인 경우에는 주민등록번호를, 법인인 경우에는 사업자등록번호를 기재하고, 대표자의 자격을 증명하는 서면(법인의 등기부 등․초본)을 제출하여야 합니다.
  4. 주소는 주민등록상의 주소를, 법인은 등기부상의 본점소재지를 기재하시고, 신분확인상 필요하오니 주민등록증을 꼭 지참하십시오.
  5. </t>
    </r>
    <r>
      <rPr>
        <b/>
        <u/>
        <sz val="10"/>
        <color theme="1"/>
        <rFont val="함초롬바탕"/>
        <family val="1"/>
        <charset val="129"/>
      </rPr>
      <t>입찰가격은 수정할 수 없으므로, 수정을 요하는 때에는 새 용지</t>
    </r>
    <r>
      <rPr>
        <b/>
        <sz val="10"/>
        <color theme="1"/>
        <rFont val="함초롬바탕"/>
        <family val="1"/>
        <charset val="129"/>
      </rPr>
      <t>를 사용하십시오.</t>
    </r>
    <r>
      <rPr>
        <sz val="10"/>
        <color theme="1"/>
        <rFont val="함초롬바탕"/>
        <family val="1"/>
        <charset val="129"/>
      </rPr>
      <t xml:space="preserve">
  6. 대리인이 입찰하는 때에는 입찰자란에 본인과 대리인의 인적사항 및 본인과의 관계 등을 모두 기재하는 외에 </t>
    </r>
    <r>
      <rPr>
        <u/>
        <sz val="10"/>
        <color theme="1"/>
        <rFont val="함초롬바탕"/>
        <family val="1"/>
        <charset val="129"/>
      </rPr>
      <t>본인의 "인감도장이 날인된" 위임장 인감증명</t>
    </r>
    <r>
      <rPr>
        <sz val="10"/>
        <color theme="1"/>
        <rFont val="함초롬바탕"/>
        <family val="1"/>
        <charset val="129"/>
      </rPr>
      <t>을 제출하십시오.
  7. 위임장, 인감증명 및 자격증명서는 이 입찰표에 첨부하십시오.
  8. 일단 제출된 입찰표는 취소, 변경이나 교환이 불가능합니다. 
  9. 공동으로 입찰하는 경우에는 공동입찰신고서를 입찰표와 함께 제출하되, 입찰표의 본인란에는“별첨 공동입찰자목록 기재와 같음”이라고 기재한 다음, 입찰표와 공동입찰신고서 사이에는 공동입찰자 전원이 간인 하십시오.
 10.입찰자 본인 또는 대리인 누구나 보증을 반환 받을 수 있습니다.
 11.보증금의 제공밥법(현금,자기앞수표 또는 보증서)중 하나를 선택하여 V표를 기재하십시오.</t>
    </r>
    <phoneticPr fontId="2" type="noConversion"/>
  </si>
  <si>
    <t>본인계좌</t>
    <phoneticPr fontId="2" type="noConversion"/>
  </si>
  <si>
    <t>법인계좌</t>
    <phoneticPr fontId="2" type="noConversion"/>
  </si>
  <si>
    <t>법인등록번호</t>
    <phoneticPr fontId="2" type="noConversion"/>
  </si>
  <si>
    <t>법인주소</t>
    <phoneticPr fontId="2" type="noConversion"/>
  </si>
  <si>
    <t>본인주민등록번호</t>
    <phoneticPr fontId="2" type="noConversion"/>
  </si>
  <si>
    <t>본인주소</t>
    <phoneticPr fontId="2" type="noConversion"/>
  </si>
  <si>
    <t>법인사업자번호</t>
    <phoneticPr fontId="2" type="noConversion"/>
  </si>
  <si>
    <t>법인</t>
    <phoneticPr fontId="2" type="noConversion"/>
  </si>
  <si>
    <t>개인</t>
    <phoneticPr fontId="2" type="noConversion"/>
  </si>
  <si>
    <t>입찰</t>
    <phoneticPr fontId="2" type="noConversion"/>
  </si>
  <si>
    <t>경매번호</t>
    <phoneticPr fontId="2" type="noConversion"/>
  </si>
  <si>
    <t>대리인성명</t>
    <phoneticPr fontId="2" type="noConversion"/>
  </si>
  <si>
    <t>이정우</t>
    <phoneticPr fontId="2" type="noConversion"/>
  </si>
  <si>
    <t>대리인직업</t>
    <phoneticPr fontId="2" type="noConversion"/>
  </si>
  <si>
    <t>회사원</t>
    <phoneticPr fontId="2" type="noConversion"/>
  </si>
  <si>
    <t>대리인주민등록번호</t>
    <phoneticPr fontId="2" type="noConversion"/>
  </si>
  <si>
    <t>대리인주소</t>
    <phoneticPr fontId="2" type="noConversion"/>
  </si>
  <si>
    <t>구분</t>
    <phoneticPr fontId="2" type="noConversion"/>
  </si>
  <si>
    <t>내용</t>
    <phoneticPr fontId="2" type="noConversion"/>
  </si>
  <si>
    <t>분류</t>
    <phoneticPr fontId="2" type="noConversion"/>
  </si>
  <si>
    <t>대리인전화번호</t>
    <phoneticPr fontId="2" type="noConversion"/>
  </si>
  <si>
    <t>입찰일자</t>
    <phoneticPr fontId="2" type="noConversion"/>
  </si>
  <si>
    <t>본인직업</t>
    <phoneticPr fontId="2" type="noConversion"/>
  </si>
  <si>
    <t>개요</t>
    <phoneticPr fontId="2" type="noConversion"/>
  </si>
  <si>
    <t>법원</t>
    <phoneticPr fontId="2" type="noConversion"/>
  </si>
  <si>
    <t>지원</t>
    <phoneticPr fontId="2" type="noConversion"/>
  </si>
  <si>
    <t>780126-1851627</t>
    <phoneticPr fontId="2" type="noConversion"/>
  </si>
  <si>
    <t>010-4238-7781</t>
    <phoneticPr fontId="2" type="noConversion"/>
  </si>
  <si>
    <t>부산시 부산진구 전포대로 280 한성시티빌 1303호</t>
    <phoneticPr fontId="2" type="noConversion"/>
  </si>
  <si>
    <t>법인성명</t>
    <phoneticPr fontId="2" type="noConversion"/>
  </si>
  <si>
    <t>입찰서류</t>
    <phoneticPr fontId="2" type="noConversion"/>
  </si>
  <si>
    <t>개인</t>
    <phoneticPr fontId="2" type="noConversion"/>
  </si>
  <si>
    <t>법인</t>
    <phoneticPr fontId="2" type="noConversion"/>
  </si>
  <si>
    <t>1. 기일입찰표</t>
    <phoneticPr fontId="2" type="noConversion"/>
  </si>
  <si>
    <r>
      <t>*</t>
    </r>
    <r>
      <rPr>
        <sz val="11"/>
        <color theme="1"/>
        <rFont val="맑은 고딕"/>
        <family val="3"/>
        <charset val="129"/>
        <scheme val="minor"/>
      </rPr>
      <t xml:space="preserve"> 위임장, 인감은 전자서명으로 대체 가능</t>
    </r>
    <phoneticPr fontId="2" type="noConversion"/>
  </si>
  <si>
    <r>
      <t>1</t>
    </r>
    <r>
      <rPr>
        <sz val="11"/>
        <color theme="1"/>
        <rFont val="맑은 고딕"/>
        <family val="3"/>
        <charset val="129"/>
        <scheme val="minor"/>
      </rPr>
      <t>. 기일입찰표</t>
    </r>
    <phoneticPr fontId="2" type="noConversion"/>
  </si>
  <si>
    <t>3. 법인인감 (3~6개월)</t>
    <phoneticPr fontId="2" type="noConversion"/>
  </si>
  <si>
    <t>2. 위임장 (도장, 인감 확인 필)</t>
    <phoneticPr fontId="2" type="noConversion"/>
  </si>
  <si>
    <t>2. 보증금</t>
    <phoneticPr fontId="2" type="noConversion"/>
  </si>
  <si>
    <t>3. 위임장 (도장, 인감과 확인 필)</t>
    <phoneticPr fontId="2" type="noConversion"/>
  </si>
  <si>
    <t>4. 인감 (3~6개월)</t>
    <phoneticPr fontId="2" type="noConversion"/>
  </si>
  <si>
    <r>
      <t>2</t>
    </r>
    <r>
      <rPr>
        <sz val="11"/>
        <color theme="1"/>
        <rFont val="맑은 고딕"/>
        <family val="3"/>
        <charset val="129"/>
        <scheme val="minor"/>
      </rPr>
      <t>. 보증금</t>
    </r>
    <phoneticPr fontId="2" type="noConversion"/>
  </si>
  <si>
    <t>4. 법인등기사항 전부 명세서</t>
    <phoneticPr fontId="2" type="noConversion"/>
  </si>
  <si>
    <t>보증금송금기한</t>
    <phoneticPr fontId="2" type="noConversion"/>
  </si>
  <si>
    <t>전자서명본인확인서용도</t>
    <phoneticPr fontId="2" type="noConversion"/>
  </si>
  <si>
    <t>https://www.youtube.com/watch?v=S2xVZjJeQd0&amp;t=14s</t>
    <phoneticPr fontId="2" type="noConversion"/>
  </si>
  <si>
    <t>전사서명 유의사항</t>
    <phoneticPr fontId="2" type="noConversion"/>
  </si>
  <si>
    <t>전자본인서명
확인서발급</t>
    <phoneticPr fontId="2" type="noConversion"/>
  </si>
  <si>
    <t xml:space="preserve">대리인
(수임자)
</t>
    <phoneticPr fontId="2" type="noConversion"/>
  </si>
  <si>
    <t>수요법원</t>
    <phoneticPr fontId="2" type="noConversion"/>
  </si>
  <si>
    <t>제출 방법</t>
    <phoneticPr fontId="2" type="noConversion"/>
  </si>
  <si>
    <t>PDF 파일 다운로드 후 저에게 보내주세요</t>
    <phoneticPr fontId="2" type="noConversion"/>
  </si>
  <si>
    <t>본인전화번호</t>
    <phoneticPr fontId="2" type="noConversion"/>
  </si>
  <si>
    <t>대리인계좌번호</t>
    <phoneticPr fontId="2" type="noConversion"/>
  </si>
  <si>
    <t>국민은행 07430204036633 이정우</t>
    <phoneticPr fontId="2" type="noConversion"/>
  </si>
  <si>
    <t>보증금</t>
    <phoneticPr fontId="2" type="noConversion"/>
  </si>
  <si>
    <t>입찰가</t>
    <phoneticPr fontId="2" type="noConversion"/>
  </si>
  <si>
    <t>수임자 성명</t>
    <phoneticPr fontId="2" type="noConversion"/>
  </si>
  <si>
    <t>수임자 주소</t>
    <phoneticPr fontId="2" type="noConversion"/>
  </si>
  <si>
    <t>서류 기한안내</t>
    <phoneticPr fontId="2" type="noConversion"/>
  </si>
  <si>
    <t>서류제출 서류/기한</t>
    <phoneticPr fontId="2" type="noConversion"/>
  </si>
  <si>
    <t>본인계좌/보증금반환</t>
    <phoneticPr fontId="2" type="noConversion"/>
  </si>
  <si>
    <t>보증금 입금 계좌</t>
    <phoneticPr fontId="2" type="noConversion"/>
  </si>
  <si>
    <t>진행비</t>
    <phoneticPr fontId="2" type="noConversion"/>
  </si>
  <si>
    <t>권역 법원 거리(km) 비용(거리*4) 왕복경비(금액)</t>
  </si>
  <si>
    <t>강릉지원 347 1388 2776 270,000</t>
  </si>
  <si>
    <t>가정지원 168 672 1344 150,000</t>
  </si>
  <si>
    <t>경주지원 81 324 648 100,000</t>
  </si>
  <si>
    <t>고양지원 423 1692 3384 270,000</t>
  </si>
  <si>
    <t>고창지원 423 1156 2312 230,000</t>
  </si>
  <si>
    <t>광주지방법원 255 1020 2040 200,000</t>
  </si>
  <si>
    <t>군산지원 256 1104 2360 230,000</t>
  </si>
  <si>
    <t>구미지원 183 732 1464 160,000</t>
  </si>
  <si>
    <t>김천지원 208 832 1664 160,000</t>
  </si>
  <si>
    <t>논산지원 285 1140 2280 220,000</t>
  </si>
  <si>
    <t>대구지방법원 335 1340 2680 250,000</t>
  </si>
  <si>
    <t>대구지방법원 107 428 856 100,000</t>
  </si>
  <si>
    <t>대전지방법원 258 1032 2064 180,000</t>
  </si>
  <si>
    <t>마산지원 59 236 472 100,000</t>
  </si>
  <si>
    <t>목포지원 289 1168 2336 210,000</t>
  </si>
  <si>
    <t>밀양지원 57 228 456 100,000</t>
  </si>
  <si>
    <t>부천지원 29 28 56 70,000</t>
  </si>
  <si>
    <t>부산지방법원 26 104 208 70,000</t>
  </si>
  <si>
    <t>부천지원 409 1636 3272 290,000</t>
  </si>
  <si>
    <t>상주지원 205 820 1640 170,000</t>
  </si>
  <si>
    <t>서산지원 149 1432 2864 270,000</t>
  </si>
  <si>
    <t>성남지원 367 1468 3036 300,000</t>
  </si>
  <si>
    <t>속초지원 398 1592 3184 320,000</t>
  </si>
  <si>
    <t>수원지방법원 374 1496 2992 250,000</t>
  </si>
  <si>
    <t>순천지원 174 1216 2432 220,000</t>
  </si>
  <si>
    <t>안동지원 205 820 1640 170,000</t>
  </si>
  <si>
    <t>안성지원 380 1520 3040 310,000</t>
  </si>
  <si>
    <t>안양지원 372 1488 2976 250,000</t>
  </si>
  <si>
    <t>여주지원 326 1304 2608 260,000</t>
  </si>
  <si>
    <t>영덕지원 216 624 1248 150,000</t>
  </si>
  <si>
    <t>영월지원 331 1324 2648 260,000</t>
  </si>
  <si>
    <t>영동지원 322 1288 2576 260,000</t>
  </si>
  <si>
    <t>영천지원 63 252 504 100,000</t>
  </si>
  <si>
    <t>원주지원 325 1300 2600 250,000</t>
  </si>
  <si>
    <t>의정부지원 164 736 1472 170,000</t>
  </si>
  <si>
    <t>인천지법 270 1080 2160 270,000</t>
  </si>
  <si>
    <t>장흥지원 245 980 1960 190,000</t>
  </si>
  <si>
    <t>전주지원 277 1008 2016 200,000</t>
  </si>
  <si>
    <t>정읍지원 295 1180 2360 220,000</t>
  </si>
  <si>
    <t>제주지원 333 1332 2664 270,000</t>
  </si>
  <si>
    <t>정읍지원 295 1180 2360 230,000</t>
  </si>
  <si>
    <t>진주지원 117 468 936 100,000</t>
  </si>
  <si>
    <t>청주지원 310 1240 2480 220,000</t>
  </si>
  <si>
    <t>천안지원 273 1092 2184 230,000</t>
  </si>
  <si>
    <t>청주지원 310 1240 2480 230,000</t>
  </si>
  <si>
    <t>춘천지원 276 1004 2008 210,000</t>
  </si>
  <si>
    <t>충청지원 337 1348 2696 260,000</t>
  </si>
  <si>
    <t>통영지원 111 444 888 120,000</t>
  </si>
  <si>
    <t>파주지원 164 656 1312 150,000</t>
  </si>
  <si>
    <t>포항지원 125 500 1000 110,000</t>
  </si>
  <si>
    <t>하남지원 348 1392 2784 270,000</t>
  </si>
  <si>
    <t>홍성지원 348 1392 2784 270,000</t>
  </si>
  <si>
    <t>부산지법 12 12 24 70,000</t>
  </si>
  <si>
    <t>창원지방</t>
    <phoneticPr fontId="2" type="noConversion"/>
  </si>
  <si>
    <t>통영</t>
    <phoneticPr fontId="2" type="noConversion"/>
  </si>
  <si>
    <t>2024타경2243</t>
    <phoneticPr fontId="2" type="noConversion"/>
  </si>
  <si>
    <t>2025년10월20일</t>
    <phoneticPr fontId="2" type="noConversion"/>
  </si>
  <si>
    <t>임준희</t>
    <phoneticPr fontId="2" type="noConversion"/>
  </si>
  <si>
    <t>회사원</t>
    <phoneticPr fontId="2" type="noConversion"/>
  </si>
  <si>
    <t>회원명</t>
    <phoneticPr fontId="2" type="noConversion"/>
  </si>
  <si>
    <t>입찰명의성명</t>
    <phoneticPr fontId="2" type="noConversion"/>
  </si>
  <si>
    <t>물건번호</t>
    <phoneticPr fontId="2" type="noConversion"/>
  </si>
  <si>
    <t xml:space="preserve">전자서명 본신확인서 발급시 물건이  1개이상이면  
물건번호별로 따로신청해야 됩니다. </t>
    <phoneticPr fontId="2" type="noConversion"/>
  </si>
  <si>
    <t>전자본인서명 확인서
발급 방법</t>
    <phoneticPr fontId="2" type="noConversion"/>
  </si>
  <si>
    <t>20251017 오후 3시</t>
    <phoneticPr fontId="2" type="noConversion"/>
  </si>
  <si>
    <t>20251017 오후 1시</t>
    <phoneticPr fontId="2" type="noConversion"/>
  </si>
  <si>
    <t>920408-1114428</t>
    <phoneticPr fontId="2" type="noConversion"/>
  </si>
  <si>
    <t>010-8295-0129</t>
    <phoneticPr fontId="2" type="noConversion"/>
  </si>
  <si>
    <r>
      <t>1</t>
    </r>
    <r>
      <rPr>
        <sz val="11"/>
        <color theme="1"/>
        <rFont val="맑은 고딕"/>
        <family val="3"/>
        <charset val="129"/>
        <scheme val="minor"/>
      </rPr>
      <t>. 기일입찰표</t>
    </r>
    <phoneticPr fontId="2" type="noConversion"/>
  </si>
  <si>
    <r>
      <t>2</t>
    </r>
    <r>
      <rPr>
        <sz val="11"/>
        <color theme="1"/>
        <rFont val="맑은 고딕"/>
        <family val="3"/>
        <charset val="129"/>
        <scheme val="minor"/>
      </rPr>
      <t>. 위임장</t>
    </r>
    <phoneticPr fontId="2" type="noConversion"/>
  </si>
  <si>
    <r>
      <t>3</t>
    </r>
    <r>
      <rPr>
        <sz val="11"/>
        <color theme="1"/>
        <rFont val="맑은 고딕"/>
        <family val="3"/>
        <charset val="129"/>
        <scheme val="minor"/>
      </rPr>
      <t>. 인감 3개월이내, 6개월 이내면 해당계에 반드시 문의</t>
    </r>
    <phoneticPr fontId="2" type="noConversion"/>
  </si>
  <si>
    <t>4. 보증금</t>
    <phoneticPr fontId="2" type="noConversion"/>
  </si>
  <si>
    <t>개인</t>
    <phoneticPr fontId="2" type="noConversion"/>
  </si>
  <si>
    <t>법인</t>
    <phoneticPr fontId="2" type="noConversion"/>
  </si>
  <si>
    <t>3. 법인사업자등록증</t>
    <phoneticPr fontId="2" type="noConversion"/>
  </si>
  <si>
    <t>4. 등기사항전부증명서</t>
    <phoneticPr fontId="2" type="noConversion"/>
  </si>
  <si>
    <t>5. 보증금</t>
    <phoneticPr fontId="2" type="noConversion"/>
  </si>
  <si>
    <t>* 법인등록증은 법인번호 확인 용도</t>
    <phoneticPr fontId="2" type="noConversion"/>
  </si>
  <si>
    <t>경상남도 창원시 마산합포구 월영남5길 23(월영동)</t>
    <phoneticPr fontId="2" type="noConversion"/>
  </si>
  <si>
    <t>법인계좌/보증금반환</t>
    <phoneticPr fontId="2" type="noConversion"/>
  </si>
  <si>
    <t>불가</t>
    <phoneticPr fontId="2" type="noConversion"/>
  </si>
  <si>
    <t>위임장 도장을 사인으로 대체,인감X 나머지 동일</t>
    <phoneticPr fontId="2" type="noConversion"/>
  </si>
  <si>
    <t>전자확인서=&gt;</t>
    <phoneticPr fontId="2" type="noConversion"/>
  </si>
  <si>
    <t>카페입찰등록 업로드</t>
    <phoneticPr fontId="2" type="noConversion"/>
  </si>
  <si>
    <t>입찰표 사진</t>
    <phoneticPr fontId="2" type="noConversion"/>
  </si>
  <si>
    <r>
      <t>M</t>
    </r>
    <r>
      <rPr>
        <sz val="11"/>
        <color theme="1"/>
        <rFont val="맑은 고딕"/>
        <family val="3"/>
        <charset val="129"/>
        <scheme val="minor"/>
      </rPr>
      <t>J 경매 단톡방</t>
    </r>
    <phoneticPr fontId="2" type="noConversion"/>
  </si>
  <si>
    <r>
      <t>낙찰:</t>
    </r>
    <r>
      <rPr>
        <sz val="11"/>
        <color theme="1"/>
        <rFont val="맑은 고딕"/>
        <family val="3"/>
        <charset val="129"/>
        <scheme val="minor"/>
      </rPr>
      <t xml:space="preserve"> 영수증 사진업로드</t>
    </r>
    <phoneticPr fontId="2" type="noConversion"/>
  </si>
  <si>
    <t>패찰: 패찰알림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</si>
</sst>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quot;₩&quot;* #,##0_-;_-&quot;₩&quot;* &quot;-&quot;_-;_-@_-"/>
    <numFmt numFmtId="41" formatCode="_-* #,##0_-;\-* #,##0_-;_-* &quot;-&quot;_-;_-@_-"/>
    <numFmt numFmtId="176" formatCode="\(#\)"/>
    <numFmt numFmtId="177" formatCode="#"/>
    <numFmt numFmtId="178" formatCode="yyyy&quot;년&quot;\ m&quot;월&quot;\ d&quot;일&quot;;@"/>
    <numFmt numFmtId="179" formatCode="#,##0_);[Red]\(#,##0\)"/>
  </numFmts>
  <fonts count="28"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rgb="FF000000"/>
      <name val="돋움"/>
      <family val="3"/>
      <charset val="129"/>
    </font>
    <font>
      <sz val="11"/>
      <color theme="1"/>
      <name val="맑은 고딕"/>
      <family val="3"/>
      <charset val="129"/>
      <scheme val="minor"/>
    </font>
    <font>
      <sz val="10"/>
      <color rgb="FF000000"/>
      <name val="Arial"/>
      <family val="2"/>
    </font>
    <font>
      <sz val="11"/>
      <color rgb="FF000000"/>
      <name val="맑은 고딕"/>
      <family val="3"/>
      <charset val="129"/>
    </font>
    <font>
      <sz val="11"/>
      <color rgb="FF006100"/>
      <name val="맑은 고딕"/>
      <family val="3"/>
      <charset val="129"/>
    </font>
    <font>
      <b/>
      <sz val="15"/>
      <color theme="3"/>
      <name val="맑은 고딕"/>
      <family val="3"/>
      <charset val="129"/>
      <scheme val="minor"/>
    </font>
    <font>
      <u/>
      <sz val="11"/>
      <color theme="11"/>
      <name val="돋움"/>
      <family val="3"/>
      <charset val="129"/>
    </font>
    <font>
      <sz val="11"/>
      <color theme="1"/>
      <name val="맑은 고딕"/>
      <family val="3"/>
      <charset val="129"/>
      <scheme val="minor"/>
    </font>
    <font>
      <b/>
      <sz val="22"/>
      <color theme="1"/>
      <name val="함초롬바탕"/>
      <family val="1"/>
      <charset val="129"/>
    </font>
    <font>
      <sz val="11"/>
      <color theme="1"/>
      <name val="함초롬바탕"/>
      <family val="1"/>
      <charset val="129"/>
    </font>
    <font>
      <sz val="10"/>
      <color theme="1"/>
      <name val="함초롬바탕"/>
      <family val="1"/>
      <charset val="129"/>
    </font>
    <font>
      <sz val="12"/>
      <color theme="1"/>
      <name val="함초롬바탕"/>
      <family val="1"/>
      <charset val="129"/>
    </font>
    <font>
      <sz val="9"/>
      <color theme="1"/>
      <name val="함초롬바탕"/>
      <family val="1"/>
      <charset val="129"/>
    </font>
    <font>
      <b/>
      <sz val="18"/>
      <color theme="1"/>
      <name val="함초롬바탕"/>
      <family val="1"/>
      <charset val="129"/>
    </font>
    <font>
      <b/>
      <sz val="10"/>
      <color theme="1"/>
      <name val="함초롬바탕"/>
      <family val="1"/>
      <charset val="129"/>
    </font>
    <font>
      <b/>
      <u/>
      <sz val="10"/>
      <color theme="1"/>
      <name val="함초롬바탕"/>
      <family val="1"/>
      <charset val="129"/>
    </font>
    <font>
      <u/>
      <sz val="10"/>
      <color theme="1"/>
      <name val="함초롬바탕"/>
      <family val="1"/>
      <charset val="129"/>
    </font>
    <font>
      <b/>
      <sz val="11"/>
      <color rgb="FFFF0000"/>
      <name val="맑은 고딕"/>
      <family val="3"/>
      <charset val="129"/>
      <scheme val="minor"/>
    </font>
    <font>
      <b/>
      <sz val="11"/>
      <color theme="1"/>
      <name val="맑은 고딕"/>
      <family val="3"/>
      <charset val="129"/>
      <scheme val="minor"/>
    </font>
    <font>
      <u/>
      <sz val="11"/>
      <color theme="10"/>
      <name val="맑은 고딕"/>
      <family val="2"/>
      <charset val="129"/>
      <scheme val="minor"/>
    </font>
    <font>
      <sz val="10"/>
      <color theme="1"/>
      <name val="맑은 고딕"/>
      <family val="3"/>
      <charset val="129"/>
      <scheme val="minor"/>
    </font>
    <font>
      <b/>
      <sz val="14"/>
      <color rgb="FFFF0000"/>
      <name val="맑은 고딕"/>
      <family val="3"/>
      <charset val="129"/>
      <scheme val="minor"/>
    </font>
    <font>
      <b/>
      <sz val="14"/>
      <color theme="0"/>
      <name val="맑은 고딕"/>
      <family val="3"/>
      <charset val="129"/>
      <scheme val="minor"/>
    </font>
    <font>
      <sz val="9"/>
      <color theme="1"/>
      <name val="맑은 고딕"/>
      <family val="3"/>
      <charset val="129"/>
      <scheme val="minor"/>
    </font>
    <font>
      <sz val="11"/>
      <color theme="0" tint="-0.499984740745262"/>
      <name val="맑은 고딕"/>
      <family val="3"/>
      <charset val="129"/>
      <scheme val="minor"/>
    </font>
  </fonts>
  <fills count="14">
    <fill>
      <patternFill patternType="none"/>
    </fill>
    <fill>
      <patternFill patternType="gray125"/>
    </fill>
    <fill>
      <patternFill patternType="solid">
        <fgColor rgb="FFFFFFCC"/>
        <bgColor rgb="FF000000"/>
      </patternFill>
    </fill>
    <fill>
      <patternFill patternType="solid">
        <fgColor rgb="FFC6EFCE"/>
        <bgColor rgb="FF000000"/>
      </patternFill>
    </fill>
    <fill>
      <patternFill patternType="solid">
        <fgColor rgb="FFE2F0D9"/>
        <bgColor rgb="FF000000"/>
      </patternFill>
    </fill>
    <fill>
      <patternFill patternType="solid">
        <fgColor rgb="FFFFFFCC"/>
        <bgColor indexed="64"/>
      </patternFill>
    </fill>
    <fill>
      <patternFill patternType="solid">
        <fgColor rgb="FFC6EFCE"/>
        <bgColor indexed="64"/>
      </patternFill>
    </fill>
    <fill>
      <patternFill patternType="solid">
        <fgColor rgb="FFE2F0D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theme="9" tint="0.39997558519241921"/>
        <bgColor indexed="64"/>
      </patternFill>
    </fill>
  </fills>
  <borders count="44">
    <border>
      <left/>
      <right/>
      <top/>
      <bottom/>
      <diagonal/>
    </border>
    <border>
      <left style="thin">
        <color rgb="FFB2B2B2"/>
      </left>
      <right style="thin">
        <color rgb="FFB2B2B2"/>
      </right>
      <top style="thin">
        <color rgb="FFB2B2B2"/>
      </top>
      <bottom style="thin">
        <color rgb="FFB2B2B2"/>
      </bottom>
      <diagonal/>
    </border>
    <border>
      <left/>
      <right/>
      <top/>
      <bottom style="thick">
        <color theme="4" tint="0.79992065187536243"/>
      </bottom>
      <diagonal/>
    </border>
    <border>
      <left style="medium">
        <color auto="1"/>
      </left>
      <right style="thin">
        <color auto="1"/>
      </right>
      <top style="medium">
        <color auto="1"/>
      </top>
      <bottom style="thin">
        <color auto="1"/>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style="medium">
        <color auto="1"/>
      </top>
      <bottom/>
      <diagonal/>
    </border>
    <border>
      <left style="thin">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bottom style="medium">
        <color indexed="64"/>
      </bottom>
      <diagonal/>
    </border>
    <border>
      <left style="medium">
        <color indexed="64"/>
      </left>
      <right style="thin">
        <color auto="1"/>
      </right>
      <top style="medium">
        <color indexed="64"/>
      </top>
      <bottom style="medium">
        <color indexed="64"/>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indexed="64"/>
      </right>
      <top style="thin">
        <color indexed="64"/>
      </top>
      <bottom style="double">
        <color auto="1"/>
      </bottom>
      <diagonal/>
    </border>
  </borders>
  <cellStyleXfs count="28">
    <xf numFmtId="0" fontId="0" fillId="0" borderId="0">
      <alignment vertical="center"/>
    </xf>
    <xf numFmtId="41" fontId="1" fillId="0" borderId="0" applyFont="0" applyFill="0" applyBorder="0" applyAlignment="0" applyProtection="0">
      <alignment vertical="center"/>
    </xf>
    <xf numFmtId="0" fontId="3" fillId="0" borderId="0">
      <alignment vertical="center"/>
    </xf>
    <xf numFmtId="0" fontId="5" fillId="0" borderId="0">
      <alignment vertical="center"/>
    </xf>
    <xf numFmtId="0" fontId="3" fillId="0" borderId="0">
      <alignment vertical="center"/>
    </xf>
    <xf numFmtId="0" fontId="4" fillId="0" borderId="0">
      <alignment vertical="center"/>
    </xf>
    <xf numFmtId="0" fontId="4" fillId="0" borderId="0">
      <alignment vertical="center"/>
    </xf>
    <xf numFmtId="42" fontId="4" fillId="0" borderId="0" applyFont="0" applyFill="0" applyBorder="0" applyAlignment="0" applyProtection="0">
      <alignment vertical="center"/>
    </xf>
    <xf numFmtId="0" fontId="4" fillId="2" borderId="1" applyNumberFormat="0" applyFont="0" applyAlignment="0" applyProtection="0">
      <alignment vertical="center"/>
    </xf>
    <xf numFmtId="0" fontId="5" fillId="0" borderId="0">
      <alignment vertical="center"/>
    </xf>
    <xf numFmtId="0" fontId="6" fillId="0" borderId="0">
      <alignment vertical="center"/>
    </xf>
    <xf numFmtId="41" fontId="6" fillId="0" borderId="0">
      <alignment vertical="center"/>
    </xf>
    <xf numFmtId="42" fontId="6" fillId="0" borderId="0">
      <alignment vertical="center"/>
    </xf>
    <xf numFmtId="0" fontId="7" fillId="3" borderId="0">
      <alignment vertical="center"/>
    </xf>
    <xf numFmtId="0" fontId="6" fillId="2" borderId="1">
      <alignment vertical="center"/>
    </xf>
    <xf numFmtId="0" fontId="6" fillId="4" borderId="0">
      <alignment vertical="center"/>
    </xf>
    <xf numFmtId="0" fontId="8" fillId="0" borderId="2" applyNumberFormat="0" applyFill="0" applyAlignment="0" applyProtection="0">
      <alignment vertical="center"/>
    </xf>
    <xf numFmtId="0" fontId="4" fillId="0" borderId="0">
      <alignment vertical="center"/>
    </xf>
    <xf numFmtId="0" fontId="9" fillId="0" borderId="0" applyNumberFormat="0" applyFill="0" applyBorder="0" applyAlignment="0" applyProtection="0">
      <alignment vertical="center"/>
    </xf>
    <xf numFmtId="0" fontId="7" fillId="3" borderId="0">
      <alignment vertical="center"/>
    </xf>
    <xf numFmtId="0" fontId="6" fillId="2" borderId="1">
      <alignment vertical="center"/>
    </xf>
    <xf numFmtId="0" fontId="5" fillId="0" borderId="0">
      <alignment vertical="center"/>
    </xf>
    <xf numFmtId="0" fontId="5" fillId="0" borderId="0"/>
    <xf numFmtId="0" fontId="6" fillId="5" borderId="1">
      <alignment vertical="center"/>
    </xf>
    <xf numFmtId="0" fontId="7" fillId="6" borderId="0">
      <alignment vertical="center"/>
    </xf>
    <xf numFmtId="0" fontId="6" fillId="7" borderId="0">
      <alignment vertical="center"/>
    </xf>
    <xf numFmtId="0" fontId="9" fillId="0" borderId="0" applyNumberFormat="0" applyFill="0" applyBorder="0" applyAlignment="0" applyProtection="0">
      <alignment vertical="center"/>
    </xf>
    <xf numFmtId="0" fontId="22" fillId="0" borderId="0" applyNumberFormat="0" applyFill="0" applyBorder="0" applyAlignment="0" applyProtection="0">
      <alignment vertical="center"/>
    </xf>
  </cellStyleXfs>
  <cellXfs count="195">
    <xf numFmtId="0" fontId="0" fillId="0" borderId="0" xfId="0">
      <alignment vertical="center"/>
    </xf>
    <xf numFmtId="0" fontId="10" fillId="0" borderId="0" xfId="0" applyFont="1" applyBorder="1">
      <alignment vertical="center"/>
    </xf>
    <xf numFmtId="0" fontId="12" fillId="0" borderId="0" xfId="0" applyFont="1">
      <alignment vertical="center"/>
    </xf>
    <xf numFmtId="0" fontId="12" fillId="0" borderId="7" xfId="0" applyFont="1" applyBorder="1">
      <alignment vertical="center"/>
    </xf>
    <xf numFmtId="0" fontId="12" fillId="0" borderId="12" xfId="0" applyFont="1" applyBorder="1">
      <alignment vertical="center"/>
    </xf>
    <xf numFmtId="0" fontId="12" fillId="0" borderId="0" xfId="0" applyFont="1" applyAlignment="1">
      <alignment horizontal="center" vertical="center"/>
    </xf>
    <xf numFmtId="176" fontId="13" fillId="0" borderId="0" xfId="0" applyNumberFormat="1" applyFont="1" applyAlignment="1">
      <alignment horizontal="left" vertical="center"/>
    </xf>
    <xf numFmtId="0" fontId="12" fillId="0" borderId="0" xfId="0" applyFont="1" applyBorder="1" applyAlignment="1">
      <alignment horizontal="center" vertical="center" textRotation="255"/>
    </xf>
    <xf numFmtId="0" fontId="12" fillId="0" borderId="0" xfId="0" applyFont="1" applyBorder="1" applyAlignment="1">
      <alignment horizontal="center" vertical="center"/>
    </xf>
    <xf numFmtId="0" fontId="15" fillId="0" borderId="0" xfId="0" applyFont="1" applyBorder="1" applyAlignment="1">
      <alignment horizontal="center" vertical="center" wrapText="1"/>
    </xf>
    <xf numFmtId="0" fontId="15" fillId="0" borderId="0" xfId="0" applyFont="1" applyBorder="1" applyAlignment="1">
      <alignment horizontal="center" vertical="center"/>
    </xf>
    <xf numFmtId="0" fontId="12" fillId="0" borderId="22" xfId="0" applyFont="1" applyBorder="1">
      <alignment vertical="center"/>
    </xf>
    <xf numFmtId="0" fontId="12" fillId="0" borderId="11" xfId="0" applyFont="1" applyBorder="1" applyAlignment="1">
      <alignment horizontal="left" vertical="center"/>
    </xf>
    <xf numFmtId="0" fontId="13" fillId="0" borderId="12" xfId="0" applyFont="1" applyBorder="1" applyAlignment="1">
      <alignment horizontal="center" vertical="center" textRotation="255"/>
    </xf>
    <xf numFmtId="0" fontId="13" fillId="0" borderId="12" xfId="0" applyFont="1" applyBorder="1" applyAlignment="1">
      <alignment horizontal="center" vertical="center"/>
    </xf>
    <xf numFmtId="0" fontId="13" fillId="0" borderId="25" xfId="0" applyFont="1" applyBorder="1" applyAlignment="1">
      <alignment horizontal="center" vertical="center"/>
    </xf>
    <xf numFmtId="0" fontId="12" fillId="0" borderId="12" xfId="0" applyFont="1" applyBorder="1" applyAlignment="1">
      <alignment horizontal="center" vertical="center"/>
    </xf>
    <xf numFmtId="0" fontId="12" fillId="0" borderId="26" xfId="0" applyFont="1" applyBorder="1">
      <alignment vertical="center"/>
    </xf>
    <xf numFmtId="0" fontId="12" fillId="0" borderId="19" xfId="0" applyFont="1" applyBorder="1">
      <alignment vertical="center"/>
    </xf>
    <xf numFmtId="0" fontId="12" fillId="0" borderId="27" xfId="0" applyFont="1" applyBorder="1">
      <alignment vertical="center"/>
    </xf>
    <xf numFmtId="0" fontId="12" fillId="0" borderId="28" xfId="0" applyFont="1" applyBorder="1">
      <alignment vertical="center"/>
    </xf>
    <xf numFmtId="0" fontId="12" fillId="0" borderId="0" xfId="0" applyFont="1" applyAlignment="1">
      <alignment vertical="center"/>
    </xf>
    <xf numFmtId="0" fontId="12" fillId="0" borderId="24" xfId="0" applyFont="1" applyBorder="1">
      <alignment vertical="center"/>
    </xf>
    <xf numFmtId="0" fontId="12" fillId="0" borderId="23" xfId="0" applyFont="1" applyBorder="1">
      <alignment vertical="center"/>
    </xf>
    <xf numFmtId="0" fontId="12" fillId="0" borderId="0" xfId="0" applyFont="1" applyAlignment="1">
      <alignment horizontal="left" vertical="center"/>
    </xf>
    <xf numFmtId="0" fontId="12" fillId="0" borderId="0" xfId="0" applyFont="1" applyAlignment="1">
      <alignment horizontal="center" vertical="center"/>
    </xf>
    <xf numFmtId="0" fontId="12" fillId="0" borderId="12" xfId="0" applyFont="1" applyBorder="1" applyAlignment="1">
      <alignment horizontal="center" vertical="center"/>
    </xf>
    <xf numFmtId="0" fontId="12" fillId="0" borderId="0" xfId="0" applyFont="1" applyAlignment="1">
      <alignment horizontal="left" vertical="center"/>
    </xf>
    <xf numFmtId="179" fontId="10" fillId="0" borderId="0" xfId="0" applyNumberFormat="1" applyFont="1" applyBorder="1">
      <alignment vertical="center"/>
    </xf>
    <xf numFmtId="0" fontId="13" fillId="0" borderId="17" xfId="0" applyFont="1" applyBorder="1" applyAlignment="1">
      <alignment horizontal="center" vertical="center" textRotation="255"/>
    </xf>
    <xf numFmtId="0" fontId="10" fillId="0" borderId="0" xfId="0" applyFont="1" applyBorder="1" applyAlignment="1">
      <alignment horizontal="center" vertical="center"/>
    </xf>
    <xf numFmtId="0" fontId="13" fillId="0" borderId="22" xfId="0" applyFont="1" applyBorder="1">
      <alignment vertical="center"/>
    </xf>
    <xf numFmtId="0" fontId="13" fillId="0" borderId="29" xfId="0" applyFont="1" applyBorder="1" applyAlignment="1">
      <alignment horizontal="center" vertical="center"/>
    </xf>
    <xf numFmtId="0" fontId="4" fillId="0" borderId="12" xfId="0" applyFont="1" applyFill="1" applyBorder="1" applyAlignment="1">
      <alignment horizontal="left" vertical="center" indent="1"/>
    </xf>
    <xf numFmtId="0" fontId="4" fillId="0" borderId="12" xfId="0" applyFont="1" applyBorder="1" applyAlignment="1">
      <alignment horizontal="left" vertical="center" indent="1"/>
    </xf>
    <xf numFmtId="179" fontId="4" fillId="0" borderId="12" xfId="0" applyNumberFormat="1" applyFont="1" applyBorder="1" applyAlignment="1">
      <alignment horizontal="left" vertical="center" indent="1"/>
    </xf>
    <xf numFmtId="179" fontId="4" fillId="0" borderId="13" xfId="0" applyNumberFormat="1" applyFont="1" applyFill="1" applyBorder="1" applyAlignment="1">
      <alignment horizontal="left" vertical="center" indent="1"/>
    </xf>
    <xf numFmtId="49" fontId="4" fillId="0" borderId="13" xfId="0" quotePrefix="1" applyNumberFormat="1" applyFont="1" applyBorder="1" applyAlignment="1">
      <alignment horizontal="left" vertical="center" indent="1"/>
    </xf>
    <xf numFmtId="0" fontId="4" fillId="0" borderId="13" xfId="0" applyFont="1" applyBorder="1" applyAlignment="1">
      <alignment horizontal="left" vertical="center" indent="1"/>
    </xf>
    <xf numFmtId="0" fontId="4" fillId="0" borderId="33" xfId="0" applyFont="1" applyBorder="1" applyAlignment="1">
      <alignment horizontal="left" vertical="center" indent="1"/>
    </xf>
    <xf numFmtId="179" fontId="4" fillId="0" borderId="13" xfId="0" applyNumberFormat="1" applyFont="1" applyBorder="1" applyAlignment="1">
      <alignment horizontal="left" vertical="center" indent="1"/>
    </xf>
    <xf numFmtId="0" fontId="4" fillId="0" borderId="13" xfId="0" applyFont="1" applyFill="1" applyBorder="1" applyAlignment="1">
      <alignment horizontal="left" vertical="center" indent="1"/>
    </xf>
    <xf numFmtId="0" fontId="4" fillId="0" borderId="35" xfId="0" applyFont="1" applyFill="1" applyBorder="1" applyAlignment="1">
      <alignment horizontal="left" vertical="center" indent="1"/>
    </xf>
    <xf numFmtId="179" fontId="4" fillId="0" borderId="33" xfId="0" applyNumberFormat="1" applyFont="1" applyBorder="1" applyAlignment="1">
      <alignment horizontal="left" vertical="center" indent="1"/>
    </xf>
    <xf numFmtId="0" fontId="4" fillId="0" borderId="7" xfId="0" applyFont="1" applyFill="1" applyBorder="1" applyAlignment="1">
      <alignment horizontal="left" vertical="center" indent="1"/>
    </xf>
    <xf numFmtId="0" fontId="21" fillId="10" borderId="36" xfId="0" applyFont="1" applyFill="1" applyBorder="1" applyAlignment="1">
      <alignment horizontal="center" vertical="center"/>
    </xf>
    <xf numFmtId="0" fontId="21" fillId="10" borderId="37" xfId="0" applyFont="1" applyFill="1" applyBorder="1" applyAlignment="1">
      <alignment horizontal="center" vertical="center"/>
    </xf>
    <xf numFmtId="179" fontId="21" fillId="10" borderId="38" xfId="0" applyNumberFormat="1" applyFont="1" applyFill="1" applyBorder="1" applyAlignment="1">
      <alignment horizontal="center" vertical="center"/>
    </xf>
    <xf numFmtId="179" fontId="4" fillId="0" borderId="8" xfId="0" applyNumberFormat="1" applyFont="1" applyFill="1" applyBorder="1" applyAlignment="1">
      <alignment horizontal="left" vertical="center" indent="1"/>
    </xf>
    <xf numFmtId="0" fontId="4" fillId="9" borderId="7" xfId="0" applyFont="1" applyFill="1" applyBorder="1" applyAlignment="1">
      <alignment horizontal="left" vertical="center" indent="1"/>
    </xf>
    <xf numFmtId="0" fontId="4" fillId="9" borderId="8" xfId="0" applyFont="1" applyFill="1" applyBorder="1" applyAlignment="1">
      <alignment horizontal="left" vertical="center" indent="1"/>
    </xf>
    <xf numFmtId="0" fontId="4" fillId="9" borderId="12" xfId="0" applyFont="1" applyFill="1" applyBorder="1" applyAlignment="1">
      <alignment horizontal="left" vertical="center" indent="1"/>
    </xf>
    <xf numFmtId="0" fontId="4" fillId="9" borderId="13" xfId="0" applyFont="1" applyFill="1" applyBorder="1" applyAlignment="1">
      <alignment horizontal="left" vertical="center" indent="1"/>
    </xf>
    <xf numFmtId="0" fontId="4" fillId="9" borderId="17" xfId="0" applyFont="1" applyFill="1" applyBorder="1" applyAlignment="1">
      <alignment horizontal="left" vertical="center" indent="1"/>
    </xf>
    <xf numFmtId="0" fontId="4" fillId="9" borderId="35" xfId="0" applyFont="1" applyFill="1" applyBorder="1" applyAlignment="1">
      <alignment horizontal="left" vertical="center" indent="1"/>
    </xf>
    <xf numFmtId="0" fontId="4" fillId="0" borderId="0" xfId="0" applyFont="1" applyFill="1" applyBorder="1" applyAlignment="1">
      <alignment horizontal="left" vertical="center" indent="1"/>
    </xf>
    <xf numFmtId="179" fontId="4" fillId="0" borderId="0" xfId="0" applyNumberFormat="1" applyFont="1" applyBorder="1" applyAlignment="1">
      <alignment horizontal="left" vertical="center" indent="1"/>
    </xf>
    <xf numFmtId="179" fontId="4" fillId="9" borderId="12" xfId="0" applyNumberFormat="1" applyFont="1" applyFill="1" applyBorder="1" applyAlignment="1">
      <alignment horizontal="left" vertical="center" indent="1"/>
    </xf>
    <xf numFmtId="179" fontId="20" fillId="9" borderId="17" xfId="0" applyNumberFormat="1" applyFont="1" applyFill="1" applyBorder="1" applyAlignment="1">
      <alignment horizontal="left" vertical="center" indent="1"/>
    </xf>
    <xf numFmtId="179" fontId="4" fillId="0" borderId="28" xfId="0" applyNumberFormat="1" applyFont="1" applyBorder="1" applyAlignment="1">
      <alignment horizontal="left" vertical="center" indent="1"/>
    </xf>
    <xf numFmtId="0" fontId="21" fillId="10" borderId="40" xfId="0" applyFont="1" applyFill="1" applyBorder="1" applyAlignment="1">
      <alignment horizontal="center" vertical="center"/>
    </xf>
    <xf numFmtId="0" fontId="21" fillId="10" borderId="25" xfId="0" applyFont="1" applyFill="1" applyBorder="1" applyAlignment="1">
      <alignment horizontal="center" vertical="center"/>
    </xf>
    <xf numFmtId="179" fontId="21" fillId="10" borderId="25" xfId="0" applyNumberFormat="1" applyFont="1" applyFill="1" applyBorder="1" applyAlignment="1">
      <alignment horizontal="center" vertical="center"/>
    </xf>
    <xf numFmtId="0" fontId="4" fillId="11" borderId="12" xfId="0" applyFont="1" applyFill="1" applyBorder="1" applyAlignment="1">
      <alignment horizontal="left" vertical="center" indent="1" shrinkToFit="1"/>
    </xf>
    <xf numFmtId="0" fontId="22" fillId="0" borderId="33" xfId="27" applyNumberFormat="1" applyBorder="1" applyAlignment="1">
      <alignment horizontal="left" vertical="center" indent="1" shrinkToFit="1"/>
    </xf>
    <xf numFmtId="0" fontId="4" fillId="0" borderId="13" xfId="0" applyNumberFormat="1" applyFont="1" applyBorder="1" applyAlignment="1">
      <alignment horizontal="left" vertical="center" indent="1" shrinkToFit="1"/>
    </xf>
    <xf numFmtId="0" fontId="20" fillId="11" borderId="17" xfId="0" applyFont="1" applyFill="1" applyBorder="1" applyAlignment="1">
      <alignment horizontal="left" vertical="center" indent="1" shrinkToFit="1"/>
    </xf>
    <xf numFmtId="0" fontId="4" fillId="0" borderId="35" xfId="0" applyNumberFormat="1" applyFont="1" applyBorder="1" applyAlignment="1">
      <alignment horizontal="left" vertical="center" wrapText="1" indent="1" shrinkToFit="1"/>
    </xf>
    <xf numFmtId="0" fontId="4" fillId="8" borderId="12" xfId="0" applyFont="1" applyFill="1" applyBorder="1" applyAlignment="1">
      <alignment horizontal="left" vertical="center" indent="1"/>
    </xf>
    <xf numFmtId="0" fontId="4" fillId="8" borderId="17" xfId="0" applyFont="1" applyFill="1" applyBorder="1" applyAlignment="1">
      <alignment horizontal="left" vertical="center" indent="1"/>
    </xf>
    <xf numFmtId="0" fontId="4" fillId="8" borderId="28" xfId="0" applyFont="1" applyFill="1" applyBorder="1" applyAlignment="1">
      <alignment horizontal="left" vertical="center" indent="1"/>
    </xf>
    <xf numFmtId="0" fontId="4" fillId="0" borderId="37" xfId="0" applyFont="1" applyBorder="1" applyAlignment="1">
      <alignment horizontal="left" vertical="center" indent="1"/>
    </xf>
    <xf numFmtId="0" fontId="4" fillId="0" borderId="38" xfId="0" applyFont="1" applyBorder="1" applyAlignment="1">
      <alignment horizontal="left" vertical="center" indent="1"/>
    </xf>
    <xf numFmtId="0" fontId="4" fillId="0" borderId="42" xfId="0" applyFont="1" applyBorder="1" applyAlignment="1">
      <alignment horizontal="left" vertical="center" indent="1"/>
    </xf>
    <xf numFmtId="179" fontId="4" fillId="0" borderId="43" xfId="0" applyNumberFormat="1" applyFont="1" applyBorder="1" applyAlignment="1">
      <alignment horizontal="left" vertical="center" indent="1"/>
    </xf>
    <xf numFmtId="0" fontId="23" fillId="11" borderId="28" xfId="0" applyFont="1" applyFill="1" applyBorder="1" applyAlignment="1">
      <alignment horizontal="left" vertical="center" wrapText="1" indent="1" shrinkToFit="1"/>
    </xf>
    <xf numFmtId="179" fontId="4" fillId="0" borderId="28" xfId="0" applyNumberFormat="1" applyFont="1" applyFill="1" applyBorder="1" applyAlignment="1">
      <alignment horizontal="left" vertical="center" indent="1"/>
    </xf>
    <xf numFmtId="0" fontId="4" fillId="0" borderId="17" xfId="0" applyFont="1" applyBorder="1" applyAlignment="1">
      <alignment horizontal="left" vertical="center" indent="1"/>
    </xf>
    <xf numFmtId="179" fontId="24" fillId="8" borderId="33" xfId="1" applyNumberFormat="1" applyFont="1" applyFill="1" applyBorder="1" applyAlignment="1">
      <alignment horizontal="right" vertical="center"/>
    </xf>
    <xf numFmtId="179" fontId="25" fillId="12" borderId="13" xfId="1" applyNumberFormat="1" applyFont="1" applyFill="1" applyBorder="1" applyAlignment="1">
      <alignment horizontal="right" vertical="center"/>
    </xf>
    <xf numFmtId="0" fontId="21" fillId="13" borderId="12" xfId="0" applyFont="1" applyFill="1" applyBorder="1" applyAlignment="1">
      <alignment horizontal="center" vertical="center" wrapText="1"/>
    </xf>
    <xf numFmtId="0" fontId="4" fillId="0" borderId="12" xfId="0" applyFont="1" applyBorder="1" applyAlignment="1">
      <alignment vertical="center" wrapText="1"/>
    </xf>
    <xf numFmtId="0" fontId="4" fillId="0" borderId="12" xfId="0" applyFont="1" applyFill="1" applyBorder="1" applyAlignment="1">
      <alignment vertical="center" wrapText="1"/>
    </xf>
    <xf numFmtId="0" fontId="10" fillId="0" borderId="12" xfId="0" applyFont="1" applyBorder="1" applyAlignment="1">
      <alignment vertical="center" wrapText="1"/>
    </xf>
    <xf numFmtId="0" fontId="4" fillId="0" borderId="12" xfId="0" applyFont="1" applyBorder="1" applyAlignment="1">
      <alignment vertical="center" shrinkToFit="1"/>
    </xf>
    <xf numFmtId="0" fontId="4" fillId="0" borderId="0" xfId="0" applyFont="1" applyBorder="1" applyAlignment="1">
      <alignment horizontal="center" vertical="center"/>
    </xf>
    <xf numFmtId="0" fontId="4" fillId="0" borderId="12" xfId="0" applyFont="1" applyFill="1" applyBorder="1" applyAlignment="1">
      <alignment horizontal="center" vertical="center" wrapText="1"/>
    </xf>
    <xf numFmtId="0" fontId="26" fillId="0" borderId="12" xfId="0" quotePrefix="1" applyFont="1" applyFill="1" applyBorder="1" applyAlignment="1">
      <alignment horizontal="center" vertical="center" wrapText="1"/>
    </xf>
    <xf numFmtId="0" fontId="27" fillId="0" borderId="7" xfId="0" applyFont="1" applyFill="1" applyBorder="1" applyAlignment="1">
      <alignment horizontal="left" vertical="center" indent="1"/>
    </xf>
    <xf numFmtId="179" fontId="27" fillId="0" borderId="8" xfId="0" applyNumberFormat="1" applyFont="1" applyBorder="1" applyAlignment="1">
      <alignment horizontal="left" vertical="center" indent="1"/>
    </xf>
    <xf numFmtId="0" fontId="27" fillId="0" borderId="12" xfId="0" applyFont="1" applyFill="1" applyBorder="1" applyAlignment="1">
      <alignment horizontal="left" vertical="center" indent="1"/>
    </xf>
    <xf numFmtId="179" fontId="27" fillId="0" borderId="13" xfId="0" applyNumberFormat="1" applyFont="1" applyBorder="1" applyAlignment="1">
      <alignment horizontal="left" vertical="center" indent="1"/>
    </xf>
    <xf numFmtId="0" fontId="27" fillId="0" borderId="13" xfId="0" applyFont="1" applyFill="1" applyBorder="1" applyAlignment="1">
      <alignment horizontal="left" vertical="center" indent="1"/>
    </xf>
    <xf numFmtId="0" fontId="27" fillId="0" borderId="17" xfId="0" applyFont="1" applyFill="1" applyBorder="1" applyAlignment="1">
      <alignment horizontal="left" vertical="center" indent="1"/>
    </xf>
    <xf numFmtId="179" fontId="27" fillId="0" borderId="35" xfId="0" applyNumberFormat="1" applyFont="1" applyBorder="1" applyAlignment="1">
      <alignment horizontal="left" vertical="center" indent="1"/>
    </xf>
    <xf numFmtId="0" fontId="20" fillId="0" borderId="36" xfId="0" applyFont="1" applyBorder="1" applyAlignment="1">
      <alignment horizontal="center" vertical="center"/>
    </xf>
    <xf numFmtId="0" fontId="20" fillId="0" borderId="32" xfId="0" applyFont="1" applyBorder="1" applyAlignment="1">
      <alignment horizontal="center" vertical="center"/>
    </xf>
    <xf numFmtId="0" fontId="20" fillId="0" borderId="41" xfId="0" applyFont="1" applyBorder="1" applyAlignment="1">
      <alignment horizontal="center" vertical="center"/>
    </xf>
    <xf numFmtId="0" fontId="4" fillId="0" borderId="36" xfId="0" applyFont="1" applyBorder="1" applyAlignment="1">
      <alignment horizontal="center" vertical="center"/>
    </xf>
    <xf numFmtId="0" fontId="4" fillId="0" borderId="32" xfId="0" applyFont="1" applyBorder="1" applyAlignment="1">
      <alignment horizontal="center" vertical="center"/>
    </xf>
    <xf numFmtId="0" fontId="4" fillId="0" borderId="39" xfId="0" applyFont="1" applyBorder="1" applyAlignment="1">
      <alignment horizontal="center" vertical="center"/>
    </xf>
    <xf numFmtId="0" fontId="4" fillId="9" borderId="3" xfId="0" applyFont="1" applyFill="1" applyBorder="1" applyAlignment="1">
      <alignment horizontal="center" vertical="center"/>
    </xf>
    <xf numFmtId="0" fontId="4" fillId="9" borderId="9" xfId="0" applyFont="1" applyFill="1" applyBorder="1" applyAlignment="1">
      <alignment horizontal="center" vertical="center"/>
    </xf>
    <xf numFmtId="0" fontId="4" fillId="9" borderId="14" xfId="0" applyFont="1" applyFill="1" applyBorder="1" applyAlignment="1">
      <alignment horizontal="center" vertical="center"/>
    </xf>
    <xf numFmtId="0" fontId="4" fillId="0" borderId="34" xfId="0" applyFont="1" applyBorder="1" applyAlignment="1">
      <alignment horizontal="center" vertical="center"/>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28" xfId="0" applyFont="1" applyFill="1" applyBorder="1" applyAlignment="1">
      <alignment horizontal="center" vertical="center"/>
    </xf>
    <xf numFmtId="0" fontId="4" fillId="0" borderId="12" xfId="0" applyFont="1" applyFill="1" applyBorder="1" applyAlignment="1">
      <alignment horizontal="center" vertical="center"/>
    </xf>
    <xf numFmtId="0" fontId="4" fillId="9" borderId="12" xfId="0" applyFont="1" applyFill="1" applyBorder="1" applyAlignment="1">
      <alignment horizontal="center" vertical="center"/>
    </xf>
    <xf numFmtId="0" fontId="4" fillId="9" borderId="17" xfId="0" applyFont="1" applyFill="1" applyBorder="1" applyAlignment="1">
      <alignment horizontal="center" vertical="center"/>
    </xf>
    <xf numFmtId="0" fontId="21" fillId="0" borderId="34" xfId="0" applyFont="1" applyBorder="1" applyAlignment="1">
      <alignment horizontal="center" vertical="center"/>
    </xf>
    <xf numFmtId="0" fontId="21" fillId="0" borderId="9" xfId="0" applyFont="1" applyBorder="1" applyAlignment="1">
      <alignment horizontal="center" vertical="center"/>
    </xf>
    <xf numFmtId="0" fontId="21" fillId="0" borderId="14" xfId="0" applyFont="1" applyBorder="1" applyAlignment="1">
      <alignment horizontal="center" vertical="center"/>
    </xf>
    <xf numFmtId="0" fontId="27" fillId="0" borderId="36"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39" xfId="0" applyFont="1" applyBorder="1" applyAlignment="1">
      <alignment horizontal="center" vertical="center" wrapText="1"/>
    </xf>
    <xf numFmtId="0" fontId="4" fillId="0" borderId="32"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shrinkToFit="1"/>
    </xf>
    <xf numFmtId="0" fontId="11" fillId="0" borderId="0" xfId="0" applyFont="1" applyAlignment="1">
      <alignment horizontal="center" vertical="center"/>
    </xf>
    <xf numFmtId="0" fontId="12" fillId="0" borderId="3" xfId="0" applyFont="1" applyBorder="1" applyAlignment="1">
      <alignment horizontal="center" vertical="center" textRotation="255"/>
    </xf>
    <xf numFmtId="0" fontId="12" fillId="0" borderId="9" xfId="0" applyFont="1" applyBorder="1" applyAlignment="1">
      <alignment horizontal="center" vertical="center" textRotation="255"/>
    </xf>
    <xf numFmtId="0" fontId="12" fillId="0" borderId="14" xfId="0" applyFont="1" applyBorder="1" applyAlignment="1">
      <alignment horizontal="center" vertical="center" textRotation="255"/>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shrinkToFit="1"/>
    </xf>
    <xf numFmtId="0" fontId="12" fillId="0" borderId="10" xfId="0" applyFont="1" applyBorder="1" applyAlignment="1">
      <alignment horizontal="center" vertical="center" shrinkToFit="1"/>
    </xf>
    <xf numFmtId="0" fontId="12" fillId="0" borderId="13" xfId="0" applyFont="1" applyBorder="1" applyAlignment="1">
      <alignment horizontal="center" vertical="center" shrinkToFit="1"/>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3" fillId="0" borderId="15" xfId="0" applyFont="1" applyBorder="1" applyAlignment="1">
      <alignment horizontal="center" vertical="center" shrinkToFit="1"/>
    </xf>
    <xf numFmtId="0" fontId="13" fillId="0" borderId="30" xfId="0" applyFont="1" applyBorder="1" applyAlignment="1">
      <alignment horizontal="center" vertical="center" shrinkToFit="1"/>
    </xf>
    <xf numFmtId="0" fontId="12" fillId="0" borderId="30" xfId="0" applyFont="1" applyBorder="1" applyAlignment="1">
      <alignment horizontal="center" vertical="center" shrinkToFit="1"/>
    </xf>
    <xf numFmtId="0" fontId="12" fillId="0" borderId="31" xfId="0" applyFont="1" applyBorder="1" applyAlignment="1">
      <alignment horizontal="center" vertical="center" shrinkToFit="1"/>
    </xf>
    <xf numFmtId="0" fontId="16" fillId="0" borderId="0" xfId="0" applyFont="1" applyAlignment="1">
      <alignment horizontal="center" vertical="center"/>
    </xf>
    <xf numFmtId="0" fontId="14" fillId="0" borderId="4" xfId="0" applyFont="1" applyBorder="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2" fillId="0" borderId="18"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5" fillId="0" borderId="15" xfId="0" applyFont="1" applyBorder="1" applyAlignment="1">
      <alignment horizontal="center" vertical="center" shrinkToFit="1"/>
    </xf>
    <xf numFmtId="0" fontId="15" fillId="0" borderId="30" xfId="0" applyFont="1" applyBorder="1" applyAlignment="1">
      <alignment horizontal="center" vertical="center" shrinkToFit="1"/>
    </xf>
    <xf numFmtId="0" fontId="15" fillId="0" borderId="31" xfId="0" applyFont="1" applyBorder="1" applyAlignment="1">
      <alignment horizontal="center" vertical="center" shrinkToFit="1"/>
    </xf>
    <xf numFmtId="177" fontId="12" fillId="0" borderId="10" xfId="0" applyNumberFormat="1" applyFont="1" applyBorder="1" applyAlignment="1">
      <alignment horizontal="center" vertical="center"/>
    </xf>
    <xf numFmtId="177" fontId="12" fillId="0" borderId="18" xfId="0" applyNumberFormat="1" applyFont="1" applyBorder="1" applyAlignment="1">
      <alignment horizontal="center" vertical="center"/>
    </xf>
    <xf numFmtId="177" fontId="13" fillId="0" borderId="22" xfId="0" applyNumberFormat="1" applyFont="1" applyBorder="1" applyAlignment="1">
      <alignment horizontal="center" vertical="center"/>
    </xf>
    <xf numFmtId="177" fontId="13" fillId="0" borderId="23" xfId="0" applyNumberFormat="1" applyFont="1" applyBorder="1" applyAlignment="1">
      <alignment horizontal="center" vertical="center"/>
    </xf>
    <xf numFmtId="177" fontId="12" fillId="0" borderId="19" xfId="0" applyNumberFormat="1" applyFont="1" applyBorder="1" applyAlignment="1">
      <alignment horizontal="center" vertical="center"/>
    </xf>
    <xf numFmtId="177" fontId="12" fillId="0" borderId="20" xfId="0" applyNumberFormat="1" applyFont="1" applyBorder="1" applyAlignment="1">
      <alignment horizontal="center" vertical="center"/>
    </xf>
    <xf numFmtId="177" fontId="12" fillId="0" borderId="21" xfId="0" applyNumberFormat="1" applyFont="1" applyBorder="1" applyAlignment="1">
      <alignment horizontal="center" vertical="center"/>
    </xf>
    <xf numFmtId="177" fontId="12" fillId="0" borderId="24" xfId="0" applyNumberFormat="1" applyFont="1" applyBorder="1" applyAlignment="1">
      <alignment horizontal="center" vertical="center"/>
    </xf>
    <xf numFmtId="177" fontId="12" fillId="0" borderId="22" xfId="0" applyNumberFormat="1" applyFont="1" applyBorder="1" applyAlignment="1">
      <alignment horizontal="center" vertical="center"/>
    </xf>
    <xf numFmtId="177" fontId="12" fillId="0" borderId="23" xfId="0" applyNumberFormat="1" applyFont="1" applyBorder="1" applyAlignment="1">
      <alignment horizontal="center" vertical="center"/>
    </xf>
    <xf numFmtId="0" fontId="12" fillId="0" borderId="12" xfId="0" applyFont="1" applyBorder="1" applyAlignment="1">
      <alignment horizontal="center" vertical="center" wrapText="1"/>
    </xf>
    <xf numFmtId="177" fontId="12" fillId="0" borderId="11" xfId="0" applyNumberFormat="1" applyFont="1" applyBorder="1" applyAlignment="1">
      <alignment horizontal="center" vertical="center"/>
    </xf>
    <xf numFmtId="177" fontId="13" fillId="0" borderId="19" xfId="0" applyNumberFormat="1" applyFont="1" applyBorder="1" applyAlignment="1">
      <alignment horizontal="center" vertical="center" wrapText="1"/>
    </xf>
    <xf numFmtId="177" fontId="13" fillId="0" borderId="20" xfId="0" applyNumberFormat="1" applyFont="1" applyBorder="1" applyAlignment="1">
      <alignment horizontal="center" vertical="center"/>
    </xf>
    <xf numFmtId="177" fontId="13" fillId="0" borderId="21" xfId="0" applyNumberFormat="1" applyFont="1" applyBorder="1" applyAlignment="1">
      <alignment horizontal="center" vertical="center"/>
    </xf>
    <xf numFmtId="177" fontId="13" fillId="0" borderId="24" xfId="0" applyNumberFormat="1" applyFont="1" applyBorder="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vertical="center"/>
    </xf>
    <xf numFmtId="0" fontId="12" fillId="0" borderId="24"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3" fillId="0" borderId="0" xfId="0" applyFont="1" applyAlignment="1">
      <alignment horizontal="left"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3" fillId="0" borderId="22" xfId="0" applyFont="1" applyBorder="1" applyAlignment="1">
      <alignment horizontal="left" vertical="center"/>
    </xf>
    <xf numFmtId="178" fontId="13" fillId="0" borderId="22" xfId="0" applyNumberFormat="1" applyFont="1" applyBorder="1" applyAlignment="1">
      <alignment horizontal="left" vertical="center"/>
    </xf>
    <xf numFmtId="0" fontId="13" fillId="0" borderId="22"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26" xfId="0" applyFont="1" applyBorder="1" applyAlignment="1">
      <alignment horizontal="left" vertical="center"/>
    </xf>
    <xf numFmtId="0" fontId="12" fillId="0" borderId="0" xfId="0" applyFont="1" applyAlignment="1">
      <alignment horizontal="left" vertical="center"/>
    </xf>
    <xf numFmtId="177" fontId="13" fillId="0" borderId="12" xfId="0" applyNumberFormat="1" applyFont="1" applyBorder="1" applyAlignment="1">
      <alignment horizontal="center" vertical="center" shrinkToFit="1"/>
    </xf>
    <xf numFmtId="177" fontId="12" fillId="0" borderId="12" xfId="0" applyNumberFormat="1" applyFont="1" applyBorder="1" applyAlignment="1">
      <alignment horizontal="center" vertical="center"/>
    </xf>
    <xf numFmtId="0" fontId="13" fillId="0" borderId="0" xfId="0" applyFont="1" applyAlignment="1">
      <alignment horizontal="left" vertical="center" wrapText="1"/>
    </xf>
    <xf numFmtId="177" fontId="12" fillId="0" borderId="12" xfId="0" applyNumberFormat="1" applyFont="1" applyBorder="1" applyAlignment="1">
      <alignment horizontal="center" vertical="center" shrinkToFit="1"/>
    </xf>
    <xf numFmtId="0" fontId="13" fillId="0" borderId="12" xfId="0" applyFont="1" applyBorder="1" applyAlignment="1">
      <alignment horizontal="center" textRotation="255"/>
    </xf>
    <xf numFmtId="0" fontId="12" fillId="0" borderId="12" xfId="0" applyFont="1" applyBorder="1" applyAlignment="1">
      <alignment horizontal="center" vertical="center" textRotation="255"/>
    </xf>
    <xf numFmtId="0" fontId="13" fillId="0" borderId="10"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1" xfId="0" applyFont="1" applyBorder="1" applyAlignment="1">
      <alignment horizontal="center" vertical="center" wrapText="1"/>
    </xf>
    <xf numFmtId="0" fontId="12" fillId="0" borderId="26" xfId="0" applyFont="1" applyBorder="1" applyAlignment="1">
      <alignment horizontal="left" vertical="center" wrapText="1"/>
    </xf>
    <xf numFmtId="0" fontId="4" fillId="0" borderId="0" xfId="0" applyFont="1" applyBorder="1">
      <alignment vertical="center"/>
    </xf>
    <xf numFmtId="0" fontId="4" fillId="0" borderId="0" xfId="0" applyFont="1" applyFill="1" applyBorder="1">
      <alignment vertical="center"/>
    </xf>
  </cellXfs>
  <cellStyles count="28">
    <cellStyle name="20% - 강조색6 2" xfId="15"/>
    <cellStyle name="20% - 강조색6 3" xfId="25"/>
    <cellStyle name="메모 2" xfId="8"/>
    <cellStyle name="메모 3" xfId="14"/>
    <cellStyle name="메모 4" xfId="20"/>
    <cellStyle name="메모 5" xfId="23"/>
    <cellStyle name="쉼표 [0]" xfId="1" builtinId="6"/>
    <cellStyle name="쉼표 [0] 2" xfId="11"/>
    <cellStyle name="열어 본 하이퍼링크" xfId="18" builtinId="9" hidden="1"/>
    <cellStyle name="열어 본 하이퍼링크" xfId="26" builtinId="9" hidden="1"/>
    <cellStyle name="제목 1 2" xfId="16"/>
    <cellStyle name="좋음 2" xfId="13"/>
    <cellStyle name="좋음 3" xfId="19"/>
    <cellStyle name="좋음 4" xfId="24"/>
    <cellStyle name="통화 [0] 2" xfId="7"/>
    <cellStyle name="통화 [0] 3" xfId="12"/>
    <cellStyle name="표준" xfId="0" builtinId="0"/>
    <cellStyle name="표준 2" xfId="3"/>
    <cellStyle name="표준 2 2" xfId="9"/>
    <cellStyle name="표준 2 3" xfId="21"/>
    <cellStyle name="표준 2 4" xfId="22"/>
    <cellStyle name="표준 3" xfId="4"/>
    <cellStyle name="표준 4" xfId="5"/>
    <cellStyle name="표준 5" xfId="6"/>
    <cellStyle name="표준 5 2" xfId="17"/>
    <cellStyle name="표준 6" xfId="10"/>
    <cellStyle name="표준 7" xfId="2"/>
    <cellStyle name="하이퍼링크" xfId="27" builtinId="8"/>
  </cellStyles>
  <dxfs count="14">
    <dxf>
      <fill>
        <patternFill patternType="solid">
          <fgColor rgb="FF315F97"/>
          <bgColor rgb="FF315F97"/>
        </patternFill>
      </fill>
    </dxf>
    <dxf>
      <fill>
        <patternFill patternType="solid">
          <fgColor rgb="FF8393B2"/>
          <bgColor rgb="FF8393B2"/>
        </patternFill>
      </fill>
      <border>
        <top style="thin">
          <color rgb="FF315F97"/>
        </top>
        <bottom style="thin">
          <color rgb="FF315F97"/>
        </bottom>
      </border>
    </dxf>
    <dxf>
      <font>
        <b/>
      </font>
    </dxf>
    <dxf>
      <font>
        <b/>
      </font>
    </dxf>
    <dxf>
      <font>
        <b/>
      </font>
      <border>
        <top style="thin">
          <color rgb="FF315F97"/>
        </top>
      </border>
    </dxf>
    <dxf>
      <font>
        <b/>
      </font>
      <border>
        <bottom style="medium">
          <color rgb="FF315F97"/>
        </bottom>
      </border>
    </dxf>
    <dxf>
      <font>
        <color rgb="FF000000"/>
      </font>
      <border>
        <top style="medium">
          <color rgb="FF315F97"/>
        </top>
        <bottom style="medium">
          <color rgb="FF315F97"/>
        </bottom>
      </border>
    </dxf>
    <dxf>
      <fill>
        <patternFill patternType="solid">
          <fgColor rgb="FFB2C9E6"/>
          <bgColor rgb="FFB2C9E6"/>
        </patternFill>
      </fill>
    </dxf>
    <dxf>
      <fill>
        <patternFill patternType="solid">
          <fgColor rgb="FFB2C9E6"/>
          <bgColor rgb="FFB2C9E6"/>
        </patternFill>
      </fill>
    </dxf>
    <dxf>
      <font>
        <b/>
        <color rgb="FFFFFFFF"/>
      </font>
      <fill>
        <patternFill patternType="solid">
          <fgColor rgb="FF315F97"/>
          <bgColor rgb="FF315F97"/>
        </patternFill>
      </fill>
    </dxf>
    <dxf>
      <font>
        <b/>
        <color rgb="FFFFFFFF"/>
      </font>
      <fill>
        <patternFill patternType="solid">
          <fgColor rgb="FF315F97"/>
          <bgColor rgb="FF315F97"/>
        </patternFill>
      </fill>
    </dxf>
    <dxf>
      <font>
        <b/>
        <color rgb="FFFFFFFF"/>
      </font>
      <fill>
        <patternFill patternType="solid">
          <fgColor rgb="FF315F97"/>
          <bgColor rgb="FF315F97"/>
        </patternFill>
      </fill>
      <border>
        <top style="thick">
          <color rgb="FFFFFFFF"/>
        </top>
      </border>
    </dxf>
    <dxf>
      <font>
        <b/>
        <color rgb="FFFFFFFF"/>
      </font>
      <fill>
        <patternFill patternType="solid">
          <fgColor rgb="FF315F97"/>
          <bgColor rgb="FF315F97"/>
        </patternFill>
      </fill>
      <border>
        <bottom style="thick">
          <color rgb="FFFFFFFF"/>
        </bottom>
      </border>
    </dxf>
    <dxf>
      <font>
        <color rgb="FF000000"/>
      </font>
      <fill>
        <patternFill patternType="solid">
          <fgColor rgb="FFD8E4F3"/>
          <bgColor rgb="FFD8E4F3"/>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212913</xdr:colOff>
      <xdr:row>63</xdr:row>
      <xdr:rowOff>128869</xdr:rowOff>
    </xdr:from>
    <xdr:to>
      <xdr:col>5</xdr:col>
      <xdr:colOff>1012541</xdr:colOff>
      <xdr:row>89</xdr:row>
      <xdr:rowOff>25535</xdr:rowOff>
    </xdr:to>
    <xdr:pic>
      <xdr:nvPicPr>
        <xdr:cNvPr id="2" name="그림 1"/>
        <xdr:cNvPicPr>
          <a:picLocks noChangeAspect="1"/>
        </xdr:cNvPicPr>
      </xdr:nvPicPr>
      <xdr:blipFill>
        <a:blip xmlns:r="http://schemas.openxmlformats.org/officeDocument/2006/relationships" r:embed="rId1"/>
        <a:stretch>
          <a:fillRect/>
        </a:stretch>
      </xdr:blipFill>
      <xdr:spPr>
        <a:xfrm>
          <a:off x="212913" y="12130369"/>
          <a:ext cx="8457728" cy="7326166"/>
        </a:xfrm>
        <a:prstGeom prst="rect">
          <a:avLst/>
        </a:prstGeom>
      </xdr:spPr>
    </xdr:pic>
    <xdr:clientData/>
  </xdr:twoCellAnchor>
  <xdr:twoCellAnchor editAs="oneCell">
    <xdr:from>
      <xdr:col>3</xdr:col>
      <xdr:colOff>333375</xdr:colOff>
      <xdr:row>10</xdr:row>
      <xdr:rowOff>95250</xdr:rowOff>
    </xdr:from>
    <xdr:to>
      <xdr:col>8</xdr:col>
      <xdr:colOff>423521</xdr:colOff>
      <xdr:row>25</xdr:row>
      <xdr:rowOff>247649</xdr:rowOff>
    </xdr:to>
    <xdr:pic>
      <xdr:nvPicPr>
        <xdr:cNvPr id="3" name="그림 2"/>
        <xdr:cNvPicPr>
          <a:picLocks noChangeAspect="1"/>
        </xdr:cNvPicPr>
      </xdr:nvPicPr>
      <xdr:blipFill>
        <a:blip xmlns:r="http://schemas.openxmlformats.org/officeDocument/2006/relationships" r:embed="rId2"/>
        <a:stretch>
          <a:fillRect/>
        </a:stretch>
      </xdr:blipFill>
      <xdr:spPr>
        <a:xfrm>
          <a:off x="6810375" y="2609850"/>
          <a:ext cx="7386296" cy="396239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youtube.com/watch?v=S2xVZjJeQd0&amp;t=14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showGridLines="0" tabSelected="1" zoomScaleNormal="100" workbookViewId="0">
      <pane ySplit="1" topLeftCell="A2" activePane="bottomLeft" state="frozen"/>
      <selection pane="bottomLeft" activeCell="K6" sqref="K6"/>
    </sheetView>
  </sheetViews>
  <sheetFormatPr defaultRowHeight="19.5" customHeight="1" x14ac:dyDescent="0.3"/>
  <cols>
    <col min="1" max="1" width="16.625" style="1" customWidth="1"/>
    <col min="2" max="2" width="21.125" style="1" customWidth="1"/>
    <col min="3" max="3" width="47.25" style="28" customWidth="1"/>
    <col min="4" max="4" width="5.875" style="1" customWidth="1"/>
    <col min="5" max="5" width="9.5" style="1" customWidth="1"/>
    <col min="6" max="6" width="39.125" style="1" customWidth="1"/>
    <col min="7" max="7" width="36.625" style="1" customWidth="1"/>
    <col min="8" max="8" width="4.625" style="1" customWidth="1"/>
    <col min="9" max="9" width="6.25" style="1" customWidth="1"/>
    <col min="10" max="10" width="19.5" style="1" customWidth="1"/>
    <col min="11" max="16384" width="9" style="1"/>
  </cols>
  <sheetData>
    <row r="1" spans="1:11" ht="19.5" customHeight="1" thickBot="1" x14ac:dyDescent="0.35">
      <c r="A1" s="45" t="s">
        <v>80</v>
      </c>
      <c r="B1" s="46" t="s">
        <v>78</v>
      </c>
      <c r="C1" s="47" t="s">
        <v>79</v>
      </c>
    </row>
    <row r="2" spans="1:11" ht="19.5" customHeight="1" x14ac:dyDescent="0.3">
      <c r="A2" s="98" t="s">
        <v>84</v>
      </c>
      <c r="B2" s="44" t="s">
        <v>85</v>
      </c>
      <c r="C2" s="48" t="s">
        <v>179</v>
      </c>
      <c r="F2" s="80" t="s">
        <v>198</v>
      </c>
      <c r="G2" s="80" t="s">
        <v>199</v>
      </c>
    </row>
    <row r="3" spans="1:11" ht="19.5" customHeight="1" x14ac:dyDescent="0.3">
      <c r="A3" s="99"/>
      <c r="B3" s="33" t="s">
        <v>86</v>
      </c>
      <c r="C3" s="36" t="s">
        <v>180</v>
      </c>
      <c r="F3" s="81" t="s">
        <v>194</v>
      </c>
      <c r="G3" s="81" t="s">
        <v>194</v>
      </c>
      <c r="I3" s="193"/>
    </row>
    <row r="4" spans="1:11" ht="19.5" customHeight="1" x14ac:dyDescent="0.3">
      <c r="A4" s="99"/>
      <c r="B4" s="34" t="s">
        <v>71</v>
      </c>
      <c r="C4" s="38" t="s">
        <v>181</v>
      </c>
      <c r="F4" s="81" t="s">
        <v>195</v>
      </c>
      <c r="G4" s="81" t="s">
        <v>195</v>
      </c>
      <c r="I4" s="30">
        <v>1</v>
      </c>
      <c r="J4" s="193" t="s">
        <v>209</v>
      </c>
      <c r="K4" s="193" t="s">
        <v>210</v>
      </c>
    </row>
    <row r="5" spans="1:11" ht="19.5" customHeight="1" x14ac:dyDescent="0.3">
      <c r="A5" s="99"/>
      <c r="B5" s="35" t="s">
        <v>187</v>
      </c>
      <c r="C5" s="37"/>
      <c r="F5" s="84" t="s">
        <v>196</v>
      </c>
      <c r="G5" s="82" t="s">
        <v>200</v>
      </c>
      <c r="I5" s="30">
        <v>2</v>
      </c>
      <c r="J5" s="193" t="s">
        <v>211</v>
      </c>
    </row>
    <row r="6" spans="1:11" ht="19.5" customHeight="1" thickBot="1" x14ac:dyDescent="0.35">
      <c r="A6" s="100"/>
      <c r="B6" s="77" t="s">
        <v>82</v>
      </c>
      <c r="C6" s="42" t="s">
        <v>182</v>
      </c>
      <c r="F6" s="82" t="s">
        <v>197</v>
      </c>
      <c r="G6" s="82" t="s">
        <v>201</v>
      </c>
      <c r="J6" s="193" t="s">
        <v>212</v>
      </c>
    </row>
    <row r="7" spans="1:11" ht="22.5" customHeight="1" x14ac:dyDescent="0.3">
      <c r="A7" s="99" t="s">
        <v>70</v>
      </c>
      <c r="B7" s="76" t="s">
        <v>117</v>
      </c>
      <c r="C7" s="78">
        <v>73900000</v>
      </c>
      <c r="F7" s="83"/>
      <c r="G7" s="82" t="s">
        <v>202</v>
      </c>
      <c r="J7" s="194" t="s">
        <v>213</v>
      </c>
    </row>
    <row r="8" spans="1:11" ht="19.5" customHeight="1" x14ac:dyDescent="0.3">
      <c r="A8" s="99"/>
      <c r="B8" s="33" t="s">
        <v>116</v>
      </c>
      <c r="C8" s="79">
        <v>7208500</v>
      </c>
      <c r="F8" s="83"/>
      <c r="G8" s="82" t="s">
        <v>203</v>
      </c>
    </row>
    <row r="9" spans="1:11" ht="19.5" customHeight="1" x14ac:dyDescent="0.3">
      <c r="A9" s="99"/>
      <c r="B9" s="34" t="s">
        <v>124</v>
      </c>
      <c r="C9" s="38"/>
      <c r="D9" s="85"/>
      <c r="E9" s="85" t="s">
        <v>208</v>
      </c>
      <c r="F9" s="87" t="s">
        <v>207</v>
      </c>
      <c r="G9" s="86" t="s">
        <v>206</v>
      </c>
    </row>
    <row r="10" spans="1:11" ht="19.5" customHeight="1" thickBot="1" x14ac:dyDescent="0.35">
      <c r="A10" s="99"/>
      <c r="B10" s="34" t="s">
        <v>185</v>
      </c>
      <c r="C10" s="39" t="s">
        <v>183</v>
      </c>
    </row>
    <row r="11" spans="1:11" ht="19.5" customHeight="1" thickBot="1" x14ac:dyDescent="0.35">
      <c r="A11" s="95" t="s">
        <v>120</v>
      </c>
      <c r="B11" s="71" t="s">
        <v>121</v>
      </c>
      <c r="C11" s="72" t="s">
        <v>190</v>
      </c>
    </row>
    <row r="12" spans="1:11" ht="19.5" customHeight="1" x14ac:dyDescent="0.3">
      <c r="A12" s="96"/>
      <c r="B12" s="34" t="s">
        <v>104</v>
      </c>
      <c r="C12" s="72" t="s">
        <v>191</v>
      </c>
    </row>
    <row r="13" spans="1:11" ht="19.5" customHeight="1" thickBot="1" x14ac:dyDescent="0.35">
      <c r="A13" s="97"/>
      <c r="B13" s="73" t="s">
        <v>123</v>
      </c>
      <c r="C13" s="74" t="s">
        <v>115</v>
      </c>
    </row>
    <row r="14" spans="1:11" ht="19.5" customHeight="1" thickTop="1" x14ac:dyDescent="0.3">
      <c r="A14" s="104" t="s">
        <v>69</v>
      </c>
      <c r="B14" s="70" t="s">
        <v>186</v>
      </c>
      <c r="C14" s="43" t="s">
        <v>183</v>
      </c>
    </row>
    <row r="15" spans="1:11" ht="19.5" customHeight="1" x14ac:dyDescent="0.3">
      <c r="A15" s="105"/>
      <c r="B15" s="68" t="s">
        <v>83</v>
      </c>
      <c r="C15" s="40" t="s">
        <v>184</v>
      </c>
    </row>
    <row r="16" spans="1:11" ht="19.5" customHeight="1" x14ac:dyDescent="0.3">
      <c r="A16" s="105"/>
      <c r="B16" s="68" t="s">
        <v>65</v>
      </c>
      <c r="C16" s="40" t="s">
        <v>192</v>
      </c>
      <c r="F16"/>
    </row>
    <row r="17" spans="1:6" ht="19.5" customHeight="1" x14ac:dyDescent="0.3">
      <c r="A17" s="105"/>
      <c r="B17" s="68" t="s">
        <v>113</v>
      </c>
      <c r="C17" s="40" t="s">
        <v>193</v>
      </c>
    </row>
    <row r="18" spans="1:6" ht="19.5" customHeight="1" x14ac:dyDescent="0.3">
      <c r="A18" s="105"/>
      <c r="B18" s="68" t="s">
        <v>66</v>
      </c>
      <c r="C18" s="41" t="s">
        <v>204</v>
      </c>
      <c r="F18"/>
    </row>
    <row r="19" spans="1:6" ht="19.5" customHeight="1" thickBot="1" x14ac:dyDescent="0.35">
      <c r="A19" s="106"/>
      <c r="B19" s="69" t="s">
        <v>122</v>
      </c>
      <c r="C19" s="42" t="s">
        <v>61</v>
      </c>
    </row>
    <row r="20" spans="1:6" ht="27" x14ac:dyDescent="0.3">
      <c r="A20" s="117" t="s">
        <v>108</v>
      </c>
      <c r="B20" s="75" t="s">
        <v>189</v>
      </c>
      <c r="C20" s="64" t="s">
        <v>106</v>
      </c>
    </row>
    <row r="21" spans="1:6" ht="19.5" customHeight="1" x14ac:dyDescent="0.3">
      <c r="A21" s="117"/>
      <c r="B21" s="63" t="s">
        <v>105</v>
      </c>
      <c r="C21" s="65" t="str">
        <f>$C$2&amp;"법원"&amp;" "&amp;$C$3&amp;"지원"&amp;" "&amp;$C$4&amp;IF($C$5="","",TEXT($C$5,"(0)"))&amp;" "&amp;"대리입찰"</f>
        <v>창원지방법원 통영지원 2024타경2243 대리입찰</v>
      </c>
    </row>
    <row r="22" spans="1:6" ht="19.5" customHeight="1" x14ac:dyDescent="0.3">
      <c r="A22" s="117"/>
      <c r="B22" s="63" t="s">
        <v>118</v>
      </c>
      <c r="C22" s="40" t="str">
        <f>C32</f>
        <v>이정우</v>
      </c>
    </row>
    <row r="23" spans="1:6" ht="19.5" customHeight="1" x14ac:dyDescent="0.3">
      <c r="A23" s="117"/>
      <c r="B23" s="63" t="s">
        <v>119</v>
      </c>
      <c r="C23" s="40" t="str">
        <f>C36</f>
        <v>부산시 부산진구 전포대로 280 한성시티빌 1303호</v>
      </c>
    </row>
    <row r="24" spans="1:6" ht="19.5" customHeight="1" x14ac:dyDescent="0.3">
      <c r="A24" s="117"/>
      <c r="B24" s="63" t="s">
        <v>110</v>
      </c>
      <c r="C24" s="40" t="str">
        <f>$C$2&amp;"법원"&amp;" "&amp;$C$3&amp;"지원"</f>
        <v>창원지방법원 통영지원</v>
      </c>
    </row>
    <row r="25" spans="1:6" ht="19.5" customHeight="1" x14ac:dyDescent="0.3">
      <c r="A25" s="99"/>
      <c r="B25" s="63" t="s">
        <v>111</v>
      </c>
      <c r="C25" s="65" t="s">
        <v>112</v>
      </c>
    </row>
    <row r="26" spans="1:6" ht="33.75" thickBot="1" x14ac:dyDescent="0.35">
      <c r="A26" s="100"/>
      <c r="B26" s="66" t="s">
        <v>107</v>
      </c>
      <c r="C26" s="67" t="s">
        <v>188</v>
      </c>
    </row>
    <row r="27" spans="1:6" ht="19.5" customHeight="1" x14ac:dyDescent="0.3">
      <c r="A27" s="101" t="s">
        <v>68</v>
      </c>
      <c r="B27" s="49" t="s">
        <v>90</v>
      </c>
      <c r="C27" s="50" t="s">
        <v>90</v>
      </c>
    </row>
    <row r="28" spans="1:6" ht="19.5" customHeight="1" x14ac:dyDescent="0.3">
      <c r="A28" s="102"/>
      <c r="B28" s="51" t="s">
        <v>67</v>
      </c>
      <c r="C28" s="52" t="s">
        <v>67</v>
      </c>
    </row>
    <row r="29" spans="1:6" ht="19.5" customHeight="1" x14ac:dyDescent="0.3">
      <c r="A29" s="102"/>
      <c r="B29" s="51" t="s">
        <v>63</v>
      </c>
      <c r="C29" s="52" t="s">
        <v>63</v>
      </c>
    </row>
    <row r="30" spans="1:6" ht="19.5" customHeight="1" x14ac:dyDescent="0.3">
      <c r="A30" s="102"/>
      <c r="B30" s="51" t="s">
        <v>64</v>
      </c>
      <c r="C30" s="52" t="s">
        <v>64</v>
      </c>
    </row>
    <row r="31" spans="1:6" ht="19.5" customHeight="1" thickBot="1" x14ac:dyDescent="0.35">
      <c r="A31" s="103"/>
      <c r="B31" s="53" t="s">
        <v>205</v>
      </c>
      <c r="C31" s="54" t="s">
        <v>62</v>
      </c>
    </row>
    <row r="32" spans="1:6" ht="19.5" customHeight="1" x14ac:dyDescent="0.3">
      <c r="A32" s="114" t="s">
        <v>109</v>
      </c>
      <c r="B32" s="88" t="s">
        <v>72</v>
      </c>
      <c r="C32" s="89" t="s">
        <v>73</v>
      </c>
    </row>
    <row r="33" spans="1:3" ht="19.5" customHeight="1" x14ac:dyDescent="0.3">
      <c r="A33" s="115"/>
      <c r="B33" s="90" t="s">
        <v>74</v>
      </c>
      <c r="C33" s="91" t="s">
        <v>75</v>
      </c>
    </row>
    <row r="34" spans="1:3" ht="19.5" customHeight="1" x14ac:dyDescent="0.3">
      <c r="A34" s="115"/>
      <c r="B34" s="90" t="s">
        <v>76</v>
      </c>
      <c r="C34" s="91" t="s">
        <v>87</v>
      </c>
    </row>
    <row r="35" spans="1:3" ht="19.5" customHeight="1" x14ac:dyDescent="0.3">
      <c r="A35" s="115"/>
      <c r="B35" s="90" t="s">
        <v>81</v>
      </c>
      <c r="C35" s="92" t="s">
        <v>88</v>
      </c>
    </row>
    <row r="36" spans="1:3" ht="19.5" customHeight="1" x14ac:dyDescent="0.3">
      <c r="A36" s="115"/>
      <c r="B36" s="90" t="s">
        <v>77</v>
      </c>
      <c r="C36" s="91" t="s">
        <v>89</v>
      </c>
    </row>
    <row r="37" spans="1:3" ht="19.5" customHeight="1" thickBot="1" x14ac:dyDescent="0.35">
      <c r="A37" s="116"/>
      <c r="B37" s="93" t="s">
        <v>114</v>
      </c>
      <c r="C37" s="94" t="s">
        <v>115</v>
      </c>
    </row>
    <row r="48" spans="1:3" ht="19.5" customHeight="1" x14ac:dyDescent="0.3">
      <c r="A48" s="30"/>
      <c r="B48" s="55"/>
      <c r="C48" s="56"/>
    </row>
    <row r="49" spans="1:3" ht="19.5" customHeight="1" thickBot="1" x14ac:dyDescent="0.35"/>
    <row r="50" spans="1:3" ht="19.5" customHeight="1" thickBot="1" x14ac:dyDescent="0.35">
      <c r="A50" s="60" t="s">
        <v>80</v>
      </c>
      <c r="B50" s="61" t="s">
        <v>78</v>
      </c>
      <c r="C50" s="62" t="s">
        <v>79</v>
      </c>
    </row>
    <row r="51" spans="1:3" ht="19.5" customHeight="1" x14ac:dyDescent="0.3">
      <c r="A51" s="111" t="s">
        <v>91</v>
      </c>
      <c r="B51" s="107" t="s">
        <v>92</v>
      </c>
      <c r="C51" s="59" t="s">
        <v>94</v>
      </c>
    </row>
    <row r="52" spans="1:3" ht="19.5" customHeight="1" x14ac:dyDescent="0.3">
      <c r="A52" s="112"/>
      <c r="B52" s="108"/>
      <c r="C52" s="35" t="s">
        <v>99</v>
      </c>
    </row>
    <row r="53" spans="1:3" ht="19.5" customHeight="1" x14ac:dyDescent="0.3">
      <c r="A53" s="112"/>
      <c r="B53" s="108"/>
      <c r="C53" s="35" t="s">
        <v>100</v>
      </c>
    </row>
    <row r="54" spans="1:3" ht="19.5" customHeight="1" x14ac:dyDescent="0.3">
      <c r="A54" s="112"/>
      <c r="B54" s="108"/>
      <c r="C54" s="35" t="s">
        <v>101</v>
      </c>
    </row>
    <row r="55" spans="1:3" ht="19.5" customHeight="1" x14ac:dyDescent="0.3">
      <c r="A55" s="112"/>
      <c r="B55" s="108"/>
      <c r="C55" s="35" t="s">
        <v>95</v>
      </c>
    </row>
    <row r="56" spans="1:3" ht="19.5" customHeight="1" x14ac:dyDescent="0.3">
      <c r="A56" s="112"/>
      <c r="B56" s="109" t="s">
        <v>93</v>
      </c>
      <c r="C56" s="57" t="s">
        <v>96</v>
      </c>
    </row>
    <row r="57" spans="1:3" ht="19.5" customHeight="1" x14ac:dyDescent="0.3">
      <c r="A57" s="112"/>
      <c r="B57" s="109"/>
      <c r="C57" s="57" t="s">
        <v>102</v>
      </c>
    </row>
    <row r="58" spans="1:3" ht="19.5" customHeight="1" x14ac:dyDescent="0.3">
      <c r="A58" s="112"/>
      <c r="B58" s="109"/>
      <c r="C58" s="57" t="s">
        <v>98</v>
      </c>
    </row>
    <row r="59" spans="1:3" ht="19.5" customHeight="1" x14ac:dyDescent="0.3">
      <c r="A59" s="112"/>
      <c r="B59" s="109"/>
      <c r="C59" s="57" t="s">
        <v>97</v>
      </c>
    </row>
    <row r="60" spans="1:3" ht="19.5" customHeight="1" thickBot="1" x14ac:dyDescent="0.35">
      <c r="A60" s="113"/>
      <c r="B60" s="110"/>
      <c r="C60" s="58" t="s">
        <v>103</v>
      </c>
    </row>
  </sheetData>
  <mergeCells count="10">
    <mergeCell ref="B51:B55"/>
    <mergeCell ref="B56:B60"/>
    <mergeCell ref="A51:A60"/>
    <mergeCell ref="A32:A37"/>
    <mergeCell ref="A20:A26"/>
    <mergeCell ref="A11:A13"/>
    <mergeCell ref="A2:A6"/>
    <mergeCell ref="A7:A10"/>
    <mergeCell ref="A27:A31"/>
    <mergeCell ref="A14:A19"/>
  </mergeCells>
  <phoneticPr fontId="2" type="noConversion"/>
  <dataValidations count="2">
    <dataValidation type="textLength" allowBlank="1" showInputMessage="1" showErrorMessage="1" errorTitle="12자리 초가 불가" error="12자리 초가 불가" sqref="C7">
      <formula1>1</formula1>
      <formula2>12</formula2>
    </dataValidation>
    <dataValidation type="textLength" allowBlank="1" showInputMessage="1" showErrorMessage="1" errorTitle="11자리 초과 불가" error="11자리 초과 불가" sqref="C9">
      <formula1>1</formula1>
      <formula2>11</formula2>
    </dataValidation>
  </dataValidations>
  <hyperlinks>
    <hyperlink ref="C20"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showGridLines="0" view="pageBreakPreview" zoomScale="130" zoomScaleNormal="100" zoomScaleSheetLayoutView="130" workbookViewId="0">
      <selection activeCell="J14" sqref="J14"/>
    </sheetView>
  </sheetViews>
  <sheetFormatPr defaultRowHeight="16.5" x14ac:dyDescent="0.3"/>
  <cols>
    <col min="1" max="1" width="3.5" customWidth="1"/>
    <col min="2" max="3" width="5.875" customWidth="1"/>
    <col min="4" max="5" width="3" customWidth="1"/>
    <col min="6" max="6" width="4.375" customWidth="1"/>
    <col min="7" max="7" width="5.5" customWidth="1"/>
    <col min="8" max="8" width="8.5" customWidth="1"/>
    <col min="9" max="9" width="5" customWidth="1"/>
    <col min="10" max="10" width="9.125" customWidth="1"/>
    <col min="11" max="11" width="3.75" customWidth="1"/>
    <col min="12" max="12" width="10" customWidth="1"/>
    <col min="13" max="13" width="6" customWidth="1"/>
    <col min="14" max="14" width="8.875" customWidth="1"/>
  </cols>
  <sheetData>
    <row r="1" spans="1:12" ht="36" customHeight="1" x14ac:dyDescent="0.3">
      <c r="A1" s="120" t="s">
        <v>0</v>
      </c>
      <c r="B1" s="120"/>
      <c r="C1" s="120"/>
      <c r="D1" s="120"/>
      <c r="E1" s="120"/>
      <c r="F1" s="120"/>
      <c r="G1" s="120"/>
      <c r="H1" s="120"/>
      <c r="I1" s="120"/>
      <c r="J1" s="120"/>
      <c r="K1" s="120"/>
      <c r="L1" s="120"/>
    </row>
    <row r="2" spans="1:12" ht="18.75" customHeight="1" thickBot="1" x14ac:dyDescent="0.35">
      <c r="A2" s="2"/>
      <c r="B2" s="2"/>
      <c r="C2" s="2"/>
      <c r="D2" s="2"/>
      <c r="E2" s="2"/>
      <c r="F2" s="2"/>
      <c r="G2" s="2"/>
      <c r="H2" s="2"/>
      <c r="I2" s="2"/>
      <c r="J2" s="2"/>
      <c r="K2" s="2"/>
      <c r="L2" s="2"/>
    </row>
    <row r="3" spans="1:12" ht="26.25" customHeight="1" x14ac:dyDescent="0.3">
      <c r="A3" s="121" t="s">
        <v>1</v>
      </c>
      <c r="B3" s="124" t="s">
        <v>2</v>
      </c>
      <c r="C3" s="125"/>
      <c r="D3" s="124" t="str">
        <f>입찰리스트!C32</f>
        <v>이정우</v>
      </c>
      <c r="E3" s="126"/>
      <c r="F3" s="126"/>
      <c r="G3" s="125"/>
      <c r="H3" s="3" t="s">
        <v>3</v>
      </c>
      <c r="I3" s="127" t="str">
        <f>입찰리스트!C33</f>
        <v>회사원</v>
      </c>
      <c r="J3" s="127"/>
      <c r="K3" s="124"/>
      <c r="L3" s="128"/>
    </row>
    <row r="4" spans="1:12" ht="26.25" customHeight="1" x14ac:dyDescent="0.3">
      <c r="A4" s="122"/>
      <c r="B4" s="129" t="s">
        <v>4</v>
      </c>
      <c r="C4" s="130"/>
      <c r="D4" s="131" t="str">
        <f>입찰리스트!C34</f>
        <v>780126-1851627</v>
      </c>
      <c r="E4" s="131"/>
      <c r="F4" s="131"/>
      <c r="G4" s="131"/>
      <c r="H4" s="4" t="s">
        <v>5</v>
      </c>
      <c r="I4" s="131" t="str">
        <f>입찰리스트!C35</f>
        <v>010-4238-7781</v>
      </c>
      <c r="J4" s="131"/>
      <c r="K4" s="132"/>
      <c r="L4" s="133"/>
    </row>
    <row r="5" spans="1:12" ht="26.25" customHeight="1" thickBot="1" x14ac:dyDescent="0.35">
      <c r="A5" s="123"/>
      <c r="B5" s="134" t="s">
        <v>6</v>
      </c>
      <c r="C5" s="135"/>
      <c r="D5" s="136" t="str">
        <f>입찰리스트!C36</f>
        <v>부산시 부산진구 전포대로 280 한성시티빌 1303호</v>
      </c>
      <c r="E5" s="137"/>
      <c r="F5" s="138"/>
      <c r="G5" s="138"/>
      <c r="H5" s="138"/>
      <c r="I5" s="138"/>
      <c r="J5" s="138"/>
      <c r="K5" s="138"/>
      <c r="L5" s="139"/>
    </row>
    <row r="6" spans="1:12" ht="18.75" customHeight="1" x14ac:dyDescent="0.3">
      <c r="A6" s="2"/>
      <c r="B6" s="2"/>
      <c r="C6" s="2"/>
      <c r="D6" s="2"/>
      <c r="E6" s="2"/>
      <c r="F6" s="2"/>
      <c r="G6" s="2"/>
      <c r="H6" s="2"/>
      <c r="I6" s="2"/>
      <c r="J6" s="2"/>
      <c r="K6" s="2"/>
      <c r="L6" s="2"/>
    </row>
    <row r="7" spans="1:12" ht="18.75" customHeight="1" x14ac:dyDescent="0.3">
      <c r="A7" s="118" t="s">
        <v>7</v>
      </c>
      <c r="B7" s="118"/>
      <c r="C7" s="118"/>
      <c r="D7" s="118"/>
      <c r="E7" s="118"/>
      <c r="F7" s="118"/>
      <c r="G7" s="118"/>
      <c r="H7" s="118"/>
      <c r="I7" s="118"/>
      <c r="J7" s="118"/>
      <c r="K7" s="118"/>
      <c r="L7" s="118"/>
    </row>
    <row r="8" spans="1:12" ht="18.75" customHeight="1" x14ac:dyDescent="0.3">
      <c r="A8" s="2"/>
      <c r="B8" s="2"/>
      <c r="C8" s="2"/>
      <c r="D8" s="2"/>
      <c r="E8" s="2"/>
      <c r="F8" s="2"/>
      <c r="G8" s="2"/>
      <c r="H8" s="2"/>
      <c r="I8" s="2"/>
      <c r="J8" s="2"/>
      <c r="K8" s="2"/>
      <c r="L8" s="2"/>
    </row>
    <row r="9" spans="1:12" ht="18.75" customHeight="1" x14ac:dyDescent="0.3">
      <c r="A9" s="118" t="s">
        <v>8</v>
      </c>
      <c r="B9" s="118"/>
      <c r="C9" s="118"/>
      <c r="D9" s="118"/>
      <c r="E9" s="118"/>
      <c r="F9" s="118"/>
      <c r="G9" s="118"/>
      <c r="H9" s="118"/>
      <c r="I9" s="118"/>
      <c r="J9" s="118"/>
      <c r="K9" s="118"/>
      <c r="L9" s="118"/>
    </row>
    <row r="10" spans="1:12" ht="18.75" customHeight="1" x14ac:dyDescent="0.3">
      <c r="A10" s="2"/>
      <c r="B10" s="2"/>
      <c r="C10" s="2"/>
      <c r="D10" s="2"/>
      <c r="E10" s="2"/>
      <c r="F10" s="2"/>
      <c r="G10" s="2"/>
      <c r="H10" s="2"/>
      <c r="I10" s="2"/>
      <c r="J10" s="2"/>
      <c r="K10" s="2"/>
      <c r="L10" s="2"/>
    </row>
    <row r="11" spans="1:12" ht="20.25" customHeight="1" x14ac:dyDescent="0.3">
      <c r="A11" s="118" t="str">
        <f>입찰리스트!C2</f>
        <v>창원지방</v>
      </c>
      <c r="B11" s="118"/>
      <c r="C11" s="2" t="s">
        <v>9</v>
      </c>
      <c r="D11" s="2"/>
      <c r="E11" s="118" t="str">
        <f>입찰리스트!C3</f>
        <v>통영</v>
      </c>
      <c r="F11" s="118"/>
      <c r="G11" s="2" t="s">
        <v>10</v>
      </c>
      <c r="H11" s="118" t="str">
        <f>입찰리스트!C4</f>
        <v>2024타경2243</v>
      </c>
      <c r="I11" s="118"/>
      <c r="J11" s="118"/>
      <c r="K11" s="2" t="s">
        <v>11</v>
      </c>
      <c r="L11" s="6" t="str">
        <f>IF(입찰리스트!C5="","",TEXT(입찰리스트!C5,"(0)"))</f>
        <v/>
      </c>
    </row>
    <row r="12" spans="1:12" ht="28.5" customHeight="1" x14ac:dyDescent="0.3">
      <c r="A12" s="118" t="s">
        <v>12</v>
      </c>
      <c r="B12" s="118"/>
      <c r="C12" s="118"/>
      <c r="D12" s="118"/>
      <c r="E12" s="118"/>
      <c r="F12" s="118"/>
      <c r="G12" s="118"/>
      <c r="H12" s="118"/>
      <c r="I12" s="118"/>
      <c r="J12" s="118"/>
      <c r="K12" s="118"/>
      <c r="L12" s="118"/>
    </row>
    <row r="13" spans="1:12" ht="28.5" customHeight="1" x14ac:dyDescent="0.3">
      <c r="A13" s="5"/>
      <c r="B13" s="5"/>
      <c r="C13" s="5"/>
      <c r="D13" s="5"/>
      <c r="E13" s="5"/>
      <c r="F13" s="119" t="str">
        <f>입찰리스트!C6</f>
        <v>2025년10월20일</v>
      </c>
      <c r="G13" s="119"/>
      <c r="H13" s="119"/>
      <c r="I13" s="119"/>
      <c r="J13" s="119"/>
      <c r="K13" s="119"/>
      <c r="L13" s="119"/>
    </row>
    <row r="14" spans="1:12" ht="28.5" customHeight="1" x14ac:dyDescent="0.3">
      <c r="A14" s="5"/>
      <c r="B14" s="5"/>
      <c r="C14" s="5"/>
      <c r="D14" s="5"/>
      <c r="E14" s="5"/>
      <c r="F14" s="5"/>
      <c r="G14" s="5"/>
      <c r="H14" s="5"/>
      <c r="I14" s="5"/>
      <c r="J14" s="5"/>
      <c r="K14" s="5"/>
      <c r="L14" s="5"/>
    </row>
    <row r="15" spans="1:12" ht="18.75" customHeight="1" thickBot="1" x14ac:dyDescent="0.35">
      <c r="A15" s="2"/>
      <c r="B15" s="2"/>
      <c r="C15" s="2"/>
      <c r="D15" s="2"/>
      <c r="E15" s="2"/>
      <c r="F15" s="2"/>
      <c r="G15" s="2"/>
      <c r="H15" s="2"/>
      <c r="I15" s="2"/>
      <c r="J15" s="2"/>
      <c r="K15" s="2"/>
      <c r="L15" s="2"/>
    </row>
    <row r="16" spans="1:12" ht="26.25" customHeight="1" x14ac:dyDescent="0.3">
      <c r="A16" s="121" t="s">
        <v>13</v>
      </c>
      <c r="B16" s="124" t="s">
        <v>2</v>
      </c>
      <c r="C16" s="125"/>
      <c r="D16" s="141" t="str">
        <f>입찰리스트!C14</f>
        <v>임준희</v>
      </c>
      <c r="E16" s="142"/>
      <c r="F16" s="142"/>
      <c r="G16" s="143"/>
      <c r="H16" s="3" t="s">
        <v>3</v>
      </c>
      <c r="I16" s="127" t="str">
        <f>입찰리스트!C15</f>
        <v>회사원</v>
      </c>
      <c r="J16" s="127"/>
      <c r="K16" s="124"/>
      <c r="L16" s="128"/>
    </row>
    <row r="17" spans="1:12" ht="26.25" customHeight="1" x14ac:dyDescent="0.3">
      <c r="A17" s="122"/>
      <c r="B17" s="129" t="s">
        <v>4</v>
      </c>
      <c r="C17" s="130"/>
      <c r="D17" s="129" t="str">
        <f>입찰리스트!C16</f>
        <v>920408-1114428</v>
      </c>
      <c r="E17" s="144"/>
      <c r="F17" s="144"/>
      <c r="G17" s="130"/>
      <c r="H17" s="4" t="s">
        <v>5</v>
      </c>
      <c r="I17" s="145" t="str">
        <f>입찰리스트!C17</f>
        <v>010-8295-0129</v>
      </c>
      <c r="J17" s="145"/>
      <c r="K17" s="129"/>
      <c r="L17" s="146"/>
    </row>
    <row r="18" spans="1:12" ht="26.25" customHeight="1" thickBot="1" x14ac:dyDescent="0.35">
      <c r="A18" s="123"/>
      <c r="B18" s="134" t="s">
        <v>6</v>
      </c>
      <c r="C18" s="135"/>
      <c r="D18" s="147" t="str">
        <f>입찰리스트!C18</f>
        <v>경상남도 창원시 마산합포구 월영남5길 23(월영동)</v>
      </c>
      <c r="E18" s="148"/>
      <c r="F18" s="148"/>
      <c r="G18" s="148"/>
      <c r="H18" s="148"/>
      <c r="I18" s="148"/>
      <c r="J18" s="148"/>
      <c r="K18" s="148"/>
      <c r="L18" s="149"/>
    </row>
    <row r="19" spans="1:12" ht="26.25" customHeight="1" x14ac:dyDescent="0.3">
      <c r="A19" s="7"/>
      <c r="B19" s="8"/>
      <c r="C19" s="8"/>
      <c r="D19" s="9"/>
      <c r="E19" s="10"/>
      <c r="F19" s="10"/>
      <c r="G19" s="10"/>
      <c r="H19" s="10"/>
      <c r="I19" s="10"/>
      <c r="J19" s="10"/>
      <c r="K19" s="10"/>
      <c r="L19" s="10"/>
    </row>
    <row r="20" spans="1:12" ht="26.25" customHeight="1" x14ac:dyDescent="0.3">
      <c r="A20" s="7"/>
      <c r="B20" s="8"/>
      <c r="C20" s="8"/>
      <c r="D20" s="9"/>
      <c r="E20" s="10"/>
      <c r="F20" s="10"/>
      <c r="G20" s="10"/>
      <c r="H20" s="10"/>
      <c r="I20" s="10"/>
      <c r="J20" s="10"/>
      <c r="K20" s="10"/>
      <c r="L20" s="10"/>
    </row>
    <row r="21" spans="1:12" ht="26.25" customHeight="1" x14ac:dyDescent="0.3">
      <c r="A21" s="7"/>
      <c r="B21" s="8"/>
      <c r="C21" s="8"/>
      <c r="D21" s="9"/>
      <c r="E21" s="10"/>
      <c r="F21" s="10"/>
      <c r="G21" s="10"/>
      <c r="H21" s="10"/>
      <c r="I21" s="10"/>
      <c r="J21" s="10"/>
      <c r="K21" s="10"/>
      <c r="L21" s="10"/>
    </row>
    <row r="22" spans="1:12" ht="26.25" customHeight="1" x14ac:dyDescent="0.3">
      <c r="A22" s="7"/>
      <c r="B22" s="8"/>
      <c r="C22" s="8"/>
      <c r="D22" s="9"/>
      <c r="E22" s="10"/>
      <c r="F22" s="10"/>
      <c r="G22" s="10"/>
      <c r="H22" s="10"/>
      <c r="I22" s="10"/>
      <c r="J22" s="10"/>
      <c r="K22" s="10"/>
      <c r="L22" s="10"/>
    </row>
    <row r="23" spans="1:12" ht="26.25" customHeight="1" x14ac:dyDescent="0.3">
      <c r="A23" s="7"/>
      <c r="B23" s="8"/>
      <c r="C23" s="8"/>
      <c r="D23" s="9"/>
      <c r="E23" s="10"/>
      <c r="F23" s="10"/>
      <c r="G23" s="10"/>
      <c r="H23" s="10"/>
      <c r="I23" s="10"/>
      <c r="J23" s="10"/>
      <c r="K23" s="10"/>
      <c r="L23" s="10"/>
    </row>
    <row r="24" spans="1:12" ht="26.25" customHeight="1" x14ac:dyDescent="0.3">
      <c r="A24" s="7"/>
      <c r="B24" s="8"/>
      <c r="C24" s="8"/>
      <c r="D24" s="9"/>
      <c r="E24" s="10"/>
      <c r="F24" s="10"/>
      <c r="G24" s="10"/>
      <c r="H24" s="10"/>
      <c r="I24" s="10"/>
      <c r="J24" s="10"/>
      <c r="K24" s="10"/>
      <c r="L24" s="10"/>
    </row>
    <row r="25" spans="1:12" ht="26.25" customHeight="1" x14ac:dyDescent="0.3">
      <c r="A25" s="2"/>
      <c r="B25" s="2"/>
      <c r="C25" s="2"/>
      <c r="D25" s="2"/>
      <c r="E25" s="2"/>
      <c r="F25" s="2"/>
      <c r="G25" s="2"/>
      <c r="H25" s="2"/>
      <c r="I25" s="2"/>
      <c r="J25" s="2"/>
      <c r="K25" s="2"/>
      <c r="L25" s="2"/>
    </row>
    <row r="26" spans="1:12" ht="26.25" customHeight="1" x14ac:dyDescent="0.3">
      <c r="A26" s="2"/>
      <c r="B26" s="2"/>
      <c r="C26" s="2"/>
      <c r="D26" s="2"/>
      <c r="E26" s="2"/>
      <c r="F26" s="2"/>
      <c r="G26" s="2" t="s">
        <v>14</v>
      </c>
      <c r="H26" s="118" t="str">
        <f>입찰리스트!C14</f>
        <v>임준희</v>
      </c>
      <c r="I26" s="118"/>
      <c r="J26" s="118"/>
      <c r="K26" s="118"/>
      <c r="L26" s="2" t="s">
        <v>15</v>
      </c>
    </row>
    <row r="27" spans="1:12" ht="26.25" customHeight="1" x14ac:dyDescent="0.3">
      <c r="A27" s="2"/>
      <c r="B27" s="2"/>
      <c r="C27" s="2"/>
      <c r="D27" s="2"/>
      <c r="E27" s="2"/>
      <c r="F27" s="2"/>
      <c r="G27" s="2"/>
      <c r="H27" s="2"/>
      <c r="I27" s="2"/>
      <c r="J27" s="2"/>
      <c r="K27" s="2"/>
      <c r="L27" s="2"/>
    </row>
    <row r="28" spans="1:12" ht="26.25" customHeight="1" x14ac:dyDescent="0.3">
      <c r="A28" s="140" t="s">
        <v>16</v>
      </c>
      <c r="B28" s="140"/>
      <c r="C28" s="140"/>
      <c r="D28" s="140"/>
      <c r="E28" s="140"/>
      <c r="F28" s="140"/>
      <c r="G28" s="140"/>
      <c r="H28" s="140"/>
      <c r="I28" s="140"/>
      <c r="J28" s="140"/>
      <c r="K28" s="140"/>
      <c r="L28" s="140"/>
    </row>
    <row r="29" spans="1:12" ht="26.25" customHeight="1" x14ac:dyDescent="0.3"/>
    <row r="30" spans="1:12" ht="26.25" customHeight="1" x14ac:dyDescent="0.3"/>
    <row r="31" spans="1:12" ht="8.25" customHeight="1" x14ac:dyDescent="0.3"/>
    <row r="32" spans="1:12" ht="18.75" customHeight="1" x14ac:dyDescent="0.3"/>
    <row r="33" ht="18.75" customHeight="1" x14ac:dyDescent="0.3"/>
  </sheetData>
  <mergeCells count="28">
    <mergeCell ref="A12:L12"/>
    <mergeCell ref="H26:K26"/>
    <mergeCell ref="A28:L28"/>
    <mergeCell ref="A16:A18"/>
    <mergeCell ref="B16:C16"/>
    <mergeCell ref="D16:G16"/>
    <mergeCell ref="I16:L16"/>
    <mergeCell ref="B17:C17"/>
    <mergeCell ref="D17:G17"/>
    <mergeCell ref="I17:L17"/>
    <mergeCell ref="B18:C18"/>
    <mergeCell ref="D18:L18"/>
    <mergeCell ref="H11:J11"/>
    <mergeCell ref="F13:L13"/>
    <mergeCell ref="A1:L1"/>
    <mergeCell ref="A3:A5"/>
    <mergeCell ref="B3:C3"/>
    <mergeCell ref="D3:G3"/>
    <mergeCell ref="I3:L3"/>
    <mergeCell ref="B4:C4"/>
    <mergeCell ref="D4:G4"/>
    <mergeCell ref="I4:L4"/>
    <mergeCell ref="B5:C5"/>
    <mergeCell ref="D5:L5"/>
    <mergeCell ref="A7:L7"/>
    <mergeCell ref="A9:L9"/>
    <mergeCell ref="A11:B11"/>
    <mergeCell ref="E11:F11"/>
  </mergeCells>
  <phoneticPr fontId="2" type="noConversion"/>
  <pageMargins left="1.1023622047244095"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25"/>
  <sheetViews>
    <sheetView showGridLines="0" workbookViewId="0">
      <selection activeCell="K8" sqref="K8:AA9"/>
    </sheetView>
  </sheetViews>
  <sheetFormatPr defaultRowHeight="15.75" x14ac:dyDescent="0.3"/>
  <cols>
    <col min="1" max="1" width="5.5" style="2" customWidth="1"/>
    <col min="2" max="14" width="2.625" style="2" customWidth="1"/>
    <col min="15" max="15" width="5.5" style="2" customWidth="1"/>
    <col min="16" max="25" width="2.625" style="2" customWidth="1"/>
    <col min="26" max="26" width="3.125" style="2" customWidth="1"/>
    <col min="27" max="27" width="3.75" style="2" customWidth="1"/>
    <col min="28" max="16384" width="9" style="2"/>
  </cols>
  <sheetData>
    <row r="1" spans="1:27" x14ac:dyDescent="0.3">
      <c r="A1" s="172" t="s">
        <v>17</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row>
    <row r="2" spans="1:27" ht="42" customHeight="1" x14ac:dyDescent="0.3">
      <c r="A2" s="173" t="s">
        <v>18</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5"/>
    </row>
    <row r="3" spans="1:27" ht="16.5" customHeight="1" x14ac:dyDescent="0.3">
      <c r="A3" s="152" t="str">
        <f>입찰리스트!C2</f>
        <v>창원지방</v>
      </c>
      <c r="B3" s="152"/>
      <c r="C3" s="176" t="s">
        <v>19</v>
      </c>
      <c r="D3" s="176"/>
      <c r="E3" s="176"/>
      <c r="F3" s="176"/>
      <c r="G3" s="152" t="str">
        <f>입찰리스트!C3</f>
        <v>통영</v>
      </c>
      <c r="H3" s="152"/>
      <c r="I3" s="152"/>
      <c r="J3" s="177" t="s">
        <v>20</v>
      </c>
      <c r="K3" s="177"/>
      <c r="L3" s="177"/>
      <c r="M3" s="177"/>
      <c r="N3" s="177"/>
      <c r="O3" s="177"/>
      <c r="P3" s="31"/>
      <c r="Q3" s="178" t="s">
        <v>21</v>
      </c>
      <c r="R3" s="178"/>
      <c r="S3" s="178"/>
      <c r="T3" s="178"/>
      <c r="U3" s="152" t="str">
        <f>입찰리스트!C6</f>
        <v>2025년10월20일</v>
      </c>
      <c r="V3" s="152"/>
      <c r="W3" s="152"/>
      <c r="X3" s="152"/>
      <c r="Y3" s="152"/>
      <c r="Z3" s="152"/>
      <c r="AA3" s="153"/>
    </row>
    <row r="4" spans="1:27" ht="32.25" customHeight="1" x14ac:dyDescent="0.3">
      <c r="A4" s="179" t="s">
        <v>23</v>
      </c>
      <c r="B4" s="180"/>
      <c r="C4" s="150" t="str">
        <f>입찰리스트!C4</f>
        <v>2024타경2243</v>
      </c>
      <c r="D4" s="151"/>
      <c r="E4" s="151"/>
      <c r="F4" s="151"/>
      <c r="G4" s="151"/>
      <c r="H4" s="151"/>
      <c r="I4" s="151"/>
      <c r="J4" s="151"/>
      <c r="K4" s="151"/>
      <c r="L4" s="151"/>
      <c r="M4" s="151"/>
      <c r="N4" s="151"/>
      <c r="O4" s="12" t="s">
        <v>24</v>
      </c>
      <c r="P4" s="179" t="s">
        <v>25</v>
      </c>
      <c r="Q4" s="130"/>
      <c r="R4" s="150">
        <f>입찰리스트!C5</f>
        <v>0</v>
      </c>
      <c r="S4" s="151"/>
      <c r="T4" s="151"/>
      <c r="U4" s="151"/>
      <c r="V4" s="151"/>
      <c r="W4" s="151"/>
      <c r="X4" s="151"/>
      <c r="Y4" s="151"/>
      <c r="Z4" s="151"/>
      <c r="AA4" s="161"/>
    </row>
    <row r="5" spans="1:27" ht="15.75" customHeight="1" x14ac:dyDescent="0.3">
      <c r="A5" s="188" t="s">
        <v>26</v>
      </c>
      <c r="B5" s="145" t="s">
        <v>27</v>
      </c>
      <c r="C5" s="145"/>
      <c r="D5" s="145"/>
      <c r="E5" s="145" t="s">
        <v>28</v>
      </c>
      <c r="F5" s="145"/>
      <c r="G5" s="145"/>
      <c r="H5" s="145"/>
      <c r="I5" s="145"/>
      <c r="J5" s="145"/>
      <c r="K5" s="162" t="str">
        <f>입찰리스트!C14</f>
        <v>임준희</v>
      </c>
      <c r="L5" s="163"/>
      <c r="M5" s="163"/>
      <c r="N5" s="163"/>
      <c r="O5" s="163"/>
      <c r="P5" s="163"/>
      <c r="Q5" s="164"/>
      <c r="R5" s="166" t="s">
        <v>29</v>
      </c>
      <c r="S5" s="167"/>
      <c r="T5" s="167"/>
      <c r="U5" s="168"/>
      <c r="V5" s="154" t="str">
        <f>입찰리스트!C17</f>
        <v>010-8295-0129</v>
      </c>
      <c r="W5" s="155"/>
      <c r="X5" s="155"/>
      <c r="Y5" s="155"/>
      <c r="Z5" s="155"/>
      <c r="AA5" s="156"/>
    </row>
    <row r="6" spans="1:27" x14ac:dyDescent="0.3">
      <c r="A6" s="188"/>
      <c r="B6" s="145"/>
      <c r="C6" s="145"/>
      <c r="D6" s="145"/>
      <c r="E6" s="145"/>
      <c r="F6" s="145"/>
      <c r="G6" s="145"/>
      <c r="H6" s="145"/>
      <c r="I6" s="145"/>
      <c r="J6" s="145"/>
      <c r="K6" s="165"/>
      <c r="L6" s="152"/>
      <c r="M6" s="152"/>
      <c r="N6" s="152"/>
      <c r="O6" s="152"/>
      <c r="P6" s="152"/>
      <c r="Q6" s="153"/>
      <c r="R6" s="169"/>
      <c r="S6" s="170"/>
      <c r="T6" s="170"/>
      <c r="U6" s="171"/>
      <c r="V6" s="157"/>
      <c r="W6" s="158"/>
      <c r="X6" s="158"/>
      <c r="Y6" s="158"/>
      <c r="Z6" s="158"/>
      <c r="AA6" s="159"/>
    </row>
    <row r="7" spans="1:27" ht="33" customHeight="1" x14ac:dyDescent="0.3">
      <c r="A7" s="188"/>
      <c r="B7" s="145"/>
      <c r="C7" s="145"/>
      <c r="D7" s="145"/>
      <c r="E7" s="160" t="s">
        <v>30</v>
      </c>
      <c r="F7" s="160"/>
      <c r="G7" s="160"/>
      <c r="H7" s="160"/>
      <c r="I7" s="160"/>
      <c r="J7" s="160"/>
      <c r="K7" s="150" t="str">
        <f>입찰리스트!C16</f>
        <v>920408-1114428</v>
      </c>
      <c r="L7" s="151"/>
      <c r="M7" s="151"/>
      <c r="N7" s="151"/>
      <c r="O7" s="151"/>
      <c r="P7" s="161"/>
      <c r="Q7" s="189" t="s">
        <v>31</v>
      </c>
      <c r="R7" s="190"/>
      <c r="S7" s="191"/>
      <c r="T7" s="144"/>
      <c r="U7" s="144"/>
      <c r="V7" s="144"/>
      <c r="W7" s="144"/>
      <c r="X7" s="144"/>
      <c r="Y7" s="144"/>
      <c r="Z7" s="144"/>
      <c r="AA7" s="130"/>
    </row>
    <row r="8" spans="1:27" ht="15.75" customHeight="1" x14ac:dyDescent="0.3">
      <c r="A8" s="188"/>
      <c r="B8" s="145"/>
      <c r="C8" s="145"/>
      <c r="D8" s="145"/>
      <c r="E8" s="145" t="s">
        <v>32</v>
      </c>
      <c r="F8" s="145"/>
      <c r="G8" s="145"/>
      <c r="H8" s="145"/>
      <c r="I8" s="145"/>
      <c r="J8" s="145"/>
      <c r="K8" s="183" t="str">
        <f>입찰리스트!C18</f>
        <v>경상남도 창원시 마산합포구 월영남5길 23(월영동)</v>
      </c>
      <c r="L8" s="183"/>
      <c r="M8" s="183"/>
      <c r="N8" s="183"/>
      <c r="O8" s="183"/>
      <c r="P8" s="183"/>
      <c r="Q8" s="183"/>
      <c r="R8" s="183"/>
      <c r="S8" s="183"/>
      <c r="T8" s="183"/>
      <c r="U8" s="183"/>
      <c r="V8" s="183"/>
      <c r="W8" s="183"/>
      <c r="X8" s="183"/>
      <c r="Y8" s="183"/>
      <c r="Z8" s="183"/>
      <c r="AA8" s="183"/>
    </row>
    <row r="9" spans="1:27" x14ac:dyDescent="0.3">
      <c r="A9" s="188"/>
      <c r="B9" s="145"/>
      <c r="C9" s="145"/>
      <c r="D9" s="145"/>
      <c r="E9" s="145"/>
      <c r="F9" s="145"/>
      <c r="G9" s="145"/>
      <c r="H9" s="145"/>
      <c r="I9" s="145"/>
      <c r="J9" s="145"/>
      <c r="K9" s="183"/>
      <c r="L9" s="183"/>
      <c r="M9" s="183"/>
      <c r="N9" s="183"/>
      <c r="O9" s="183"/>
      <c r="P9" s="183"/>
      <c r="Q9" s="183"/>
      <c r="R9" s="183"/>
      <c r="S9" s="183"/>
      <c r="T9" s="183"/>
      <c r="U9" s="183"/>
      <c r="V9" s="183"/>
      <c r="W9" s="183"/>
      <c r="X9" s="183"/>
      <c r="Y9" s="183"/>
      <c r="Z9" s="183"/>
      <c r="AA9" s="183"/>
    </row>
    <row r="10" spans="1:27" x14ac:dyDescent="0.3">
      <c r="A10" s="188"/>
      <c r="B10" s="145" t="s">
        <v>33</v>
      </c>
      <c r="C10" s="145"/>
      <c r="D10" s="145"/>
      <c r="E10" s="145" t="s">
        <v>34</v>
      </c>
      <c r="F10" s="145"/>
      <c r="G10" s="145"/>
      <c r="H10" s="145"/>
      <c r="I10" s="145"/>
      <c r="J10" s="145"/>
      <c r="K10" s="154" t="str">
        <f>입찰리스트!C32</f>
        <v>이정우</v>
      </c>
      <c r="L10" s="155"/>
      <c r="M10" s="155"/>
      <c r="N10" s="155"/>
      <c r="O10" s="155"/>
      <c r="P10" s="167" t="s">
        <v>35</v>
      </c>
      <c r="Q10" s="168"/>
      <c r="R10" s="160" t="s">
        <v>36</v>
      </c>
      <c r="S10" s="145"/>
      <c r="T10" s="145"/>
      <c r="U10" s="145"/>
      <c r="V10" s="145" t="s">
        <v>37</v>
      </c>
      <c r="W10" s="145"/>
      <c r="X10" s="145"/>
      <c r="Y10" s="145"/>
      <c r="Z10" s="145"/>
      <c r="AA10" s="145"/>
    </row>
    <row r="11" spans="1:27" x14ac:dyDescent="0.3">
      <c r="A11" s="188"/>
      <c r="B11" s="145"/>
      <c r="C11" s="145"/>
      <c r="D11" s="145"/>
      <c r="E11" s="145"/>
      <c r="F11" s="145"/>
      <c r="G11" s="145"/>
      <c r="H11" s="145"/>
      <c r="I11" s="145"/>
      <c r="J11" s="145"/>
      <c r="K11" s="157"/>
      <c r="L11" s="158"/>
      <c r="M11" s="158"/>
      <c r="N11" s="158"/>
      <c r="O11" s="158"/>
      <c r="P11" s="170"/>
      <c r="Q11" s="171"/>
      <c r="R11" s="145"/>
      <c r="S11" s="145"/>
      <c r="T11" s="145"/>
      <c r="U11" s="145"/>
      <c r="V11" s="145"/>
      <c r="W11" s="145"/>
      <c r="X11" s="145"/>
      <c r="Y11" s="145"/>
      <c r="Z11" s="145"/>
      <c r="AA11" s="145"/>
    </row>
    <row r="12" spans="1:27" ht="15.75" customHeight="1" x14ac:dyDescent="0.3">
      <c r="A12" s="188"/>
      <c r="B12" s="145"/>
      <c r="C12" s="145"/>
      <c r="D12" s="145"/>
      <c r="E12" s="160" t="s">
        <v>38</v>
      </c>
      <c r="F12" s="160"/>
      <c r="G12" s="160"/>
      <c r="H12" s="160"/>
      <c r="I12" s="160"/>
      <c r="J12" s="160"/>
      <c r="K12" s="184" t="str">
        <f>입찰리스트!C34</f>
        <v>780126-1851627</v>
      </c>
      <c r="L12" s="184"/>
      <c r="M12" s="184"/>
      <c r="N12" s="184"/>
      <c r="O12" s="184"/>
      <c r="P12" s="184"/>
      <c r="Q12" s="184"/>
      <c r="R12" s="166" t="s">
        <v>29</v>
      </c>
      <c r="S12" s="167"/>
      <c r="T12" s="167"/>
      <c r="U12" s="168"/>
      <c r="V12" s="154" t="str">
        <f>입찰리스트!C35</f>
        <v>010-4238-7781</v>
      </c>
      <c r="W12" s="155"/>
      <c r="X12" s="155"/>
      <c r="Y12" s="155"/>
      <c r="Z12" s="155"/>
      <c r="AA12" s="156"/>
    </row>
    <row r="13" spans="1:27" ht="15.75" customHeight="1" x14ac:dyDescent="0.3">
      <c r="A13" s="188"/>
      <c r="B13" s="145"/>
      <c r="C13" s="145"/>
      <c r="D13" s="145"/>
      <c r="E13" s="160"/>
      <c r="F13" s="160"/>
      <c r="G13" s="160"/>
      <c r="H13" s="160"/>
      <c r="I13" s="160"/>
      <c r="J13" s="160"/>
      <c r="K13" s="184"/>
      <c r="L13" s="184"/>
      <c r="M13" s="184"/>
      <c r="N13" s="184"/>
      <c r="O13" s="184"/>
      <c r="P13" s="184"/>
      <c r="Q13" s="184"/>
      <c r="R13" s="169"/>
      <c r="S13" s="170"/>
      <c r="T13" s="170"/>
      <c r="U13" s="171"/>
      <c r="V13" s="157"/>
      <c r="W13" s="158"/>
      <c r="X13" s="158"/>
      <c r="Y13" s="158"/>
      <c r="Z13" s="158"/>
      <c r="AA13" s="159"/>
    </row>
    <row r="14" spans="1:27" x14ac:dyDescent="0.3">
      <c r="A14" s="188"/>
      <c r="B14" s="145"/>
      <c r="C14" s="145"/>
      <c r="D14" s="145"/>
      <c r="E14" s="145" t="s">
        <v>39</v>
      </c>
      <c r="F14" s="145"/>
      <c r="G14" s="145"/>
      <c r="H14" s="145"/>
      <c r="I14" s="145"/>
      <c r="J14" s="145"/>
      <c r="K14" s="186" t="str">
        <f>입찰리스트!C36</f>
        <v>부산시 부산진구 전포대로 280 한성시티빌 1303호</v>
      </c>
      <c r="L14" s="186"/>
      <c r="M14" s="186"/>
      <c r="N14" s="186"/>
      <c r="O14" s="186"/>
      <c r="P14" s="186"/>
      <c r="Q14" s="186"/>
      <c r="R14" s="186"/>
      <c r="S14" s="186"/>
      <c r="T14" s="186"/>
      <c r="U14" s="186"/>
      <c r="V14" s="186"/>
      <c r="W14" s="186"/>
      <c r="X14" s="186"/>
      <c r="Y14" s="186"/>
      <c r="Z14" s="186"/>
      <c r="AA14" s="186"/>
    </row>
    <row r="15" spans="1:27" x14ac:dyDescent="0.3">
      <c r="A15" s="188"/>
      <c r="B15" s="145"/>
      <c r="C15" s="145"/>
      <c r="D15" s="145"/>
      <c r="E15" s="145"/>
      <c r="F15" s="145"/>
      <c r="G15" s="145"/>
      <c r="H15" s="145"/>
      <c r="I15" s="145"/>
      <c r="J15" s="145"/>
      <c r="K15" s="186"/>
      <c r="L15" s="186"/>
      <c r="M15" s="186"/>
      <c r="N15" s="186"/>
      <c r="O15" s="186"/>
      <c r="P15" s="186"/>
      <c r="Q15" s="186"/>
      <c r="R15" s="186"/>
      <c r="S15" s="186"/>
      <c r="T15" s="186"/>
      <c r="U15" s="186"/>
      <c r="V15" s="186"/>
      <c r="W15" s="186"/>
      <c r="X15" s="186"/>
      <c r="Y15" s="186"/>
      <c r="Z15" s="186"/>
      <c r="AA15" s="186"/>
    </row>
    <row r="16" spans="1:27" ht="30.75" thickBot="1" x14ac:dyDescent="0.35">
      <c r="A16" s="160" t="s">
        <v>40</v>
      </c>
      <c r="B16" s="13" t="s">
        <v>41</v>
      </c>
      <c r="C16" s="13" t="s">
        <v>42</v>
      </c>
      <c r="D16" s="13" t="s">
        <v>43</v>
      </c>
      <c r="E16" s="29" t="s">
        <v>44</v>
      </c>
      <c r="F16" s="29" t="s">
        <v>45</v>
      </c>
      <c r="G16" s="29" t="s">
        <v>46</v>
      </c>
      <c r="H16" s="13" t="s">
        <v>47</v>
      </c>
      <c r="I16" s="13" t="s">
        <v>48</v>
      </c>
      <c r="J16" s="13" t="s">
        <v>49</v>
      </c>
      <c r="K16" s="29" t="s">
        <v>50</v>
      </c>
      <c r="L16" s="29" t="s">
        <v>51</v>
      </c>
      <c r="M16" s="29" t="s">
        <v>22</v>
      </c>
      <c r="N16" s="187" t="s">
        <v>52</v>
      </c>
      <c r="O16" s="160" t="s">
        <v>53</v>
      </c>
      <c r="P16" s="13" t="s">
        <v>42</v>
      </c>
      <c r="Q16" s="13" t="s">
        <v>43</v>
      </c>
      <c r="R16" s="29" t="s">
        <v>44</v>
      </c>
      <c r="S16" s="29" t="s">
        <v>45</v>
      </c>
      <c r="T16" s="29" t="s">
        <v>46</v>
      </c>
      <c r="U16" s="13" t="s">
        <v>47</v>
      </c>
      <c r="V16" s="13" t="s">
        <v>48</v>
      </c>
      <c r="W16" s="13" t="s">
        <v>49</v>
      </c>
      <c r="X16" s="29" t="s">
        <v>50</v>
      </c>
      <c r="Y16" s="29" t="s">
        <v>51</v>
      </c>
      <c r="Z16" s="29" t="s">
        <v>22</v>
      </c>
      <c r="AA16" s="187" t="s">
        <v>52</v>
      </c>
    </row>
    <row r="17" spans="1:27" ht="49.5" customHeight="1" thickBot="1" x14ac:dyDescent="0.35">
      <c r="A17" s="160"/>
      <c r="B17" s="14" t="str">
        <f>IF(COLUMN(A1)&lt;=12-LEN(입찰리스트!$C7),"",MID(입찰리스트!$C7,COLUMN(A1)-(12-LEN(입찰리스트!$C7)),1))</f>
        <v/>
      </c>
      <c r="C17" s="14" t="str">
        <f>IF(COLUMN(B1)&lt;=12-LEN(입찰리스트!$C7),"",MID(입찰리스트!$C7,COLUMN(B1)-(12-LEN(입찰리스트!$C7)),1))</f>
        <v/>
      </c>
      <c r="D17" s="14" t="str">
        <f>IF(COLUMN(C1)&lt;=12-LEN(입찰리스트!$C7),"",MID(입찰리스트!$C7,COLUMN(C1)-(12-LEN(입찰리스트!$C7)),1))</f>
        <v/>
      </c>
      <c r="E17" s="32" t="str">
        <f>IF(COLUMN(D1)&lt;=12-LEN(입찰리스트!$C7),"",MID(입찰리스트!$C7,COLUMN(D1)-(12-LEN(입찰리스트!$C7)),1))</f>
        <v/>
      </c>
      <c r="F17" s="32" t="str">
        <f>IF(COLUMN(E1)&lt;=12-LEN(입찰리스트!$C7),"",MID(입찰리스트!$C7,COLUMN(E1)-(12-LEN(입찰리스트!$C7)),1))</f>
        <v>7</v>
      </c>
      <c r="G17" s="32" t="str">
        <f>IF(COLUMN(F1)&lt;=12-LEN(입찰리스트!$C7),"",MID(입찰리스트!$C7,COLUMN(F1)-(12-LEN(입찰리스트!$C7)),1))</f>
        <v>3</v>
      </c>
      <c r="H17" s="14" t="str">
        <f>IF(COLUMN(G1)&lt;=12-LEN(입찰리스트!$C7),"",MID(입찰리스트!$C7,COLUMN(G1)-(12-LEN(입찰리스트!$C7)),1))</f>
        <v>9</v>
      </c>
      <c r="I17" s="14" t="str">
        <f>IF(COLUMN(H1)&lt;=12-LEN(입찰리스트!$C7),"",MID(입찰리스트!$C7,COLUMN(H1)-(12-LEN(입찰리스트!$C7)),1))</f>
        <v>0</v>
      </c>
      <c r="J17" s="14" t="str">
        <f>IF(COLUMN(I1)&lt;=12-LEN(입찰리스트!$C7),"",MID(입찰리스트!$C7,COLUMN(I1)-(12-LEN(입찰리스트!$C7)),1))</f>
        <v>0</v>
      </c>
      <c r="K17" s="15" t="str">
        <f>IF(COLUMN(J1)&lt;=12-LEN(입찰리스트!$C7),"",MID(입찰리스트!$C7,COLUMN(J1)-(12-LEN(입찰리스트!$C7)),1))</f>
        <v>0</v>
      </c>
      <c r="L17" s="15" t="str">
        <f>IF(COLUMN(K1)&lt;=12-LEN(입찰리스트!$C7),"",MID(입찰리스트!$C7,COLUMN(K1)-(12-LEN(입찰리스트!$C7)),1))</f>
        <v>0</v>
      </c>
      <c r="M17" s="15" t="str">
        <f>IF(COLUMN(L1)&lt;=12-LEN(입찰리스트!$C7),"",MID(입찰리스트!$C7,COLUMN(L1)-(12-LEN(입찰리스트!$C7)),1))</f>
        <v>0</v>
      </c>
      <c r="N17" s="187"/>
      <c r="O17" s="160"/>
      <c r="P17" s="14" t="str">
        <f>IF(COLUMN(A1)&lt;=11-LEN(입찰리스트!$C8),"",MID(입찰리스트!$C8,COLUMN(A1)-(11-LEN(입찰리스트!$C8)),1))</f>
        <v/>
      </c>
      <c r="Q17" s="14" t="str">
        <f>IF(COLUMN(B1)&lt;=11-LEN(입찰리스트!$C8),"",MID(입찰리스트!$C8,COLUMN(B1)-(11-LEN(입찰리스트!$C8)),1))</f>
        <v/>
      </c>
      <c r="R17" s="15" t="str">
        <f>IF(COLUMN(C1)&lt;=11-LEN(입찰리스트!$C8),"",MID(입찰리스트!$C8,COLUMN(C1)-(11-LEN(입찰리스트!$C8)),1))</f>
        <v/>
      </c>
      <c r="S17" s="15" t="str">
        <f>IF(COLUMN(D1)&lt;=11-LEN(입찰리스트!$C8),"",MID(입찰리스트!$C8,COLUMN(D1)-(11-LEN(입찰리스트!$C8)),1))</f>
        <v/>
      </c>
      <c r="T17" s="15" t="str">
        <f>IF(COLUMN(E1)&lt;=11-LEN(입찰리스트!$C8),"",MID(입찰리스트!$C8,COLUMN(E1)-(11-LEN(입찰리스트!$C8)),1))</f>
        <v>7</v>
      </c>
      <c r="U17" s="14" t="str">
        <f>IF(COLUMN(F1)&lt;=11-LEN(입찰리스트!$C8),"",MID(입찰리스트!$C8,COLUMN(F1)-(11-LEN(입찰리스트!$C8)),1))</f>
        <v>2</v>
      </c>
      <c r="V17" s="14" t="str">
        <f>IF(COLUMN(G1)&lt;=11-LEN(입찰리스트!$C8),"",MID(입찰리스트!$C8,COLUMN(G1)-(11-LEN(입찰리스트!$C8)),1))</f>
        <v>0</v>
      </c>
      <c r="W17" s="14" t="str">
        <f>IF(COLUMN(H1)&lt;=11-LEN(입찰리스트!$C8),"",MID(입찰리스트!$C8,COLUMN(H1)-(11-LEN(입찰리스트!$C8)),1))</f>
        <v>8</v>
      </c>
      <c r="X17" s="15" t="str">
        <f>IF(COLUMN(I1)&lt;=11-LEN(입찰리스트!$C8),"",MID(입찰리스트!$C8,COLUMN(I1)-(11-LEN(입찰리스트!$C8)),1))</f>
        <v>5</v>
      </c>
      <c r="Y17" s="15" t="str">
        <f>IF(COLUMN(J1)&lt;=11-LEN(입찰리스트!$C8),"",MID(입찰리스트!$C8,COLUMN(J1)-(11-LEN(입찰리스트!$C8)),1))</f>
        <v>0</v>
      </c>
      <c r="Z17" s="15" t="str">
        <f>IF(COLUMN(K1)&lt;=11-LEN(입찰리스트!$C8),"",MID(입찰리스트!$C8,COLUMN(K1)-(11-LEN(입찰리스트!$C8)),1))</f>
        <v>0</v>
      </c>
      <c r="AA17" s="187"/>
    </row>
    <row r="18" spans="1:27" ht="8.25" customHeight="1" x14ac:dyDescent="0.3">
      <c r="A18" s="17"/>
      <c r="O18" s="18"/>
      <c r="AA18" s="19"/>
    </row>
    <row r="19" spans="1:27" ht="16.5" customHeight="1" x14ac:dyDescent="0.3">
      <c r="A19" s="192" t="s">
        <v>54</v>
      </c>
      <c r="B19" s="182"/>
      <c r="C19" s="182"/>
      <c r="D19" s="182"/>
      <c r="F19" s="16" t="s">
        <v>55</v>
      </c>
      <c r="G19" s="181" t="s">
        <v>56</v>
      </c>
      <c r="H19" s="182"/>
      <c r="I19" s="182"/>
      <c r="J19" s="182"/>
      <c r="K19" s="182"/>
      <c r="L19" s="182"/>
      <c r="M19" s="182"/>
      <c r="O19" s="17" t="s">
        <v>57</v>
      </c>
      <c r="AA19" s="19"/>
    </row>
    <row r="20" spans="1:27" ht="16.5" customHeight="1" x14ac:dyDescent="0.3">
      <c r="A20" s="181"/>
      <c r="B20" s="182"/>
      <c r="C20" s="182"/>
      <c r="D20" s="182"/>
      <c r="F20" s="20"/>
      <c r="G20" s="181" t="s">
        <v>58</v>
      </c>
      <c r="H20" s="182"/>
      <c r="I20" s="182"/>
      <c r="J20" s="182"/>
      <c r="K20" s="182"/>
      <c r="L20" s="182"/>
      <c r="M20" s="182"/>
      <c r="O20" s="17"/>
      <c r="AA20" s="19"/>
    </row>
    <row r="21" spans="1:27" ht="8.25" customHeight="1" x14ac:dyDescent="0.3">
      <c r="A21" s="17"/>
      <c r="O21" s="17"/>
      <c r="AA21" s="19"/>
    </row>
    <row r="22" spans="1:27" ht="16.5" customHeight="1" x14ac:dyDescent="0.3">
      <c r="A22" s="17"/>
      <c r="O22" s="17"/>
      <c r="P22" s="118" t="s">
        <v>59</v>
      </c>
      <c r="Q22" s="118"/>
      <c r="R22" s="118"/>
      <c r="S22" s="118"/>
      <c r="T22" s="118"/>
      <c r="U22" s="118" t="str">
        <f>입찰리스트!C32</f>
        <v>이정우</v>
      </c>
      <c r="V22" s="118"/>
      <c r="W22" s="118"/>
      <c r="X22" s="118"/>
      <c r="Y22" s="118"/>
      <c r="Z22" s="21" t="s">
        <v>35</v>
      </c>
      <c r="AA22" s="19"/>
    </row>
    <row r="23" spans="1:27" ht="8.25" customHeight="1" x14ac:dyDescent="0.3">
      <c r="A23" s="22"/>
      <c r="B23" s="11"/>
      <c r="C23" s="11"/>
      <c r="D23" s="11"/>
      <c r="E23" s="11"/>
      <c r="F23" s="11"/>
      <c r="G23" s="11"/>
      <c r="H23" s="11"/>
      <c r="I23" s="11"/>
      <c r="J23" s="11"/>
      <c r="K23" s="11"/>
      <c r="L23" s="11"/>
      <c r="M23" s="11"/>
      <c r="N23" s="11"/>
      <c r="O23" s="22"/>
      <c r="P23" s="11"/>
      <c r="Q23" s="11"/>
      <c r="R23" s="11"/>
      <c r="S23" s="11"/>
      <c r="T23" s="11"/>
      <c r="U23" s="11"/>
      <c r="V23" s="11"/>
      <c r="W23" s="11"/>
      <c r="X23" s="11"/>
      <c r="Y23" s="11"/>
      <c r="Z23" s="11"/>
      <c r="AA23" s="23"/>
    </row>
    <row r="24" spans="1:27" ht="8.25" customHeight="1"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spans="1:27" ht="275.25" customHeight="1" x14ac:dyDescent="0.3">
      <c r="A25" s="185" t="s">
        <v>60</v>
      </c>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row>
  </sheetData>
  <mergeCells count="46">
    <mergeCell ref="P22:T22"/>
    <mergeCell ref="U22:Y22"/>
    <mergeCell ref="A25:AA25"/>
    <mergeCell ref="R12:U13"/>
    <mergeCell ref="V12:AA13"/>
    <mergeCell ref="E14:J15"/>
    <mergeCell ref="K14:AA15"/>
    <mergeCell ref="A16:A17"/>
    <mergeCell ref="N16:N17"/>
    <mergeCell ref="O16:O17"/>
    <mergeCell ref="AA16:AA17"/>
    <mergeCell ref="A5:A15"/>
    <mergeCell ref="K7:P7"/>
    <mergeCell ref="Q7:S7"/>
    <mergeCell ref="T7:AA7"/>
    <mergeCell ref="A19:D20"/>
    <mergeCell ref="A4:B4"/>
    <mergeCell ref="P4:Q4"/>
    <mergeCell ref="G19:M19"/>
    <mergeCell ref="G20:M20"/>
    <mergeCell ref="E8:J9"/>
    <mergeCell ref="K8:AA9"/>
    <mergeCell ref="B10:D15"/>
    <mergeCell ref="E10:J11"/>
    <mergeCell ref="K10:O11"/>
    <mergeCell ref="P10:Q11"/>
    <mergeCell ref="R10:U11"/>
    <mergeCell ref="V10:AA11"/>
    <mergeCell ref="E12:J13"/>
    <mergeCell ref="K12:Q13"/>
    <mergeCell ref="B5:D9"/>
    <mergeCell ref="E5:J6"/>
    <mergeCell ref="A1:AA1"/>
    <mergeCell ref="A2:AA2"/>
    <mergeCell ref="A3:B3"/>
    <mergeCell ref="C3:F3"/>
    <mergeCell ref="G3:I3"/>
    <mergeCell ref="J3:O3"/>
    <mergeCell ref="Q3:T3"/>
    <mergeCell ref="C4:N4"/>
    <mergeCell ref="U3:AA3"/>
    <mergeCell ref="V5:AA6"/>
    <mergeCell ref="E7:J7"/>
    <mergeCell ref="R4:AA4"/>
    <mergeCell ref="K5:Q6"/>
    <mergeCell ref="R5:U6"/>
  </mergeCells>
  <phoneticPr fontId="2" type="noConversion"/>
  <pageMargins left="0.9055118110236221" right="0.70866141732283472" top="0.74803149606299213" bottom="0.74803149606299213" header="0.31496062992125984" footer="0.31496062992125984"/>
  <pageSetup paperSize="9" scale="9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3"/>
  <sheetViews>
    <sheetView showGridLines="0" view="pageBreakPreview" zoomScale="130" zoomScaleNormal="100" zoomScaleSheetLayoutView="130" workbookViewId="0">
      <selection activeCell="I4" sqref="I4:L4"/>
    </sheetView>
  </sheetViews>
  <sheetFormatPr defaultRowHeight="16.5" x14ac:dyDescent="0.3"/>
  <cols>
    <col min="1" max="1" width="3.5" customWidth="1"/>
    <col min="2" max="3" width="5.875" customWidth="1"/>
    <col min="4" max="5" width="3" customWidth="1"/>
    <col min="6" max="6" width="4.375" customWidth="1"/>
    <col min="7" max="7" width="5.5" customWidth="1"/>
    <col min="8" max="8" width="8.5" customWidth="1"/>
    <col min="9" max="9" width="5" customWidth="1"/>
    <col min="10" max="10" width="9.125" customWidth="1"/>
    <col min="11" max="11" width="3.75" customWidth="1"/>
    <col min="12" max="12" width="10" customWidth="1"/>
    <col min="13" max="13" width="6" customWidth="1"/>
    <col min="14" max="14" width="8.875" customWidth="1"/>
  </cols>
  <sheetData>
    <row r="1" spans="1:12" ht="36" customHeight="1" x14ac:dyDescent="0.3">
      <c r="A1" s="120" t="s">
        <v>0</v>
      </c>
      <c r="B1" s="120"/>
      <c r="C1" s="120"/>
      <c r="D1" s="120"/>
      <c r="E1" s="120"/>
      <c r="F1" s="120"/>
      <c r="G1" s="120"/>
      <c r="H1" s="120"/>
      <c r="I1" s="120"/>
      <c r="J1" s="120"/>
      <c r="K1" s="120"/>
      <c r="L1" s="120"/>
    </row>
    <row r="2" spans="1:12" ht="18.75" customHeight="1" thickBot="1" x14ac:dyDescent="0.35">
      <c r="A2" s="2"/>
      <c r="B2" s="2"/>
      <c r="C2" s="2"/>
      <c r="D2" s="2"/>
      <c r="E2" s="2"/>
      <c r="F2" s="2"/>
      <c r="G2" s="2"/>
      <c r="H2" s="2"/>
      <c r="I2" s="2"/>
      <c r="J2" s="2"/>
      <c r="K2" s="2"/>
      <c r="L2" s="2"/>
    </row>
    <row r="3" spans="1:12" ht="26.25" customHeight="1" x14ac:dyDescent="0.3">
      <c r="A3" s="121" t="s">
        <v>1</v>
      </c>
      <c r="B3" s="124" t="s">
        <v>2</v>
      </c>
      <c r="C3" s="125"/>
      <c r="D3" s="124" t="str">
        <f>입찰리스트!C32</f>
        <v>이정우</v>
      </c>
      <c r="E3" s="126"/>
      <c r="F3" s="126"/>
      <c r="G3" s="125"/>
      <c r="H3" s="3" t="s">
        <v>3</v>
      </c>
      <c r="I3" s="127" t="str">
        <f>입찰리스트!C33</f>
        <v>회사원</v>
      </c>
      <c r="J3" s="127"/>
      <c r="K3" s="124"/>
      <c r="L3" s="128"/>
    </row>
    <row r="4" spans="1:12" ht="26.25" customHeight="1" x14ac:dyDescent="0.3">
      <c r="A4" s="122"/>
      <c r="B4" s="129" t="s">
        <v>4</v>
      </c>
      <c r="C4" s="130"/>
      <c r="D4" s="131" t="str">
        <f>입찰리스트!C34</f>
        <v>780126-1851627</v>
      </c>
      <c r="E4" s="131"/>
      <c r="F4" s="131"/>
      <c r="G4" s="131"/>
      <c r="H4" s="4" t="s">
        <v>5</v>
      </c>
      <c r="I4" s="131" t="str">
        <f>입찰리스트!C35</f>
        <v>010-4238-7781</v>
      </c>
      <c r="J4" s="131"/>
      <c r="K4" s="132"/>
      <c r="L4" s="133"/>
    </row>
    <row r="5" spans="1:12" ht="26.25" customHeight="1" thickBot="1" x14ac:dyDescent="0.35">
      <c r="A5" s="123"/>
      <c r="B5" s="134" t="s">
        <v>6</v>
      </c>
      <c r="C5" s="135"/>
      <c r="D5" s="136" t="str">
        <f>입찰리스트!C36</f>
        <v>부산시 부산진구 전포대로 280 한성시티빌 1303호</v>
      </c>
      <c r="E5" s="137"/>
      <c r="F5" s="138"/>
      <c r="G5" s="138"/>
      <c r="H5" s="138"/>
      <c r="I5" s="138"/>
      <c r="J5" s="138"/>
      <c r="K5" s="138"/>
      <c r="L5" s="139"/>
    </row>
    <row r="6" spans="1:12" ht="18.75" customHeight="1" x14ac:dyDescent="0.3">
      <c r="A6" s="2"/>
      <c r="B6" s="2"/>
      <c r="C6" s="2"/>
      <c r="D6" s="2"/>
      <c r="E6" s="2"/>
      <c r="F6" s="2"/>
      <c r="G6" s="2"/>
      <c r="H6" s="2"/>
      <c r="I6" s="2"/>
      <c r="J6" s="2"/>
      <c r="K6" s="2"/>
      <c r="L6" s="2"/>
    </row>
    <row r="7" spans="1:12" ht="18.75" customHeight="1" x14ac:dyDescent="0.3">
      <c r="A7" s="118" t="s">
        <v>7</v>
      </c>
      <c r="B7" s="118"/>
      <c r="C7" s="118"/>
      <c r="D7" s="118"/>
      <c r="E7" s="118"/>
      <c r="F7" s="118"/>
      <c r="G7" s="118"/>
      <c r="H7" s="118"/>
      <c r="I7" s="118"/>
      <c r="J7" s="118"/>
      <c r="K7" s="118"/>
      <c r="L7" s="118"/>
    </row>
    <row r="8" spans="1:12" ht="18.75" customHeight="1" x14ac:dyDescent="0.3">
      <c r="A8" s="2"/>
      <c r="B8" s="2"/>
      <c r="C8" s="2"/>
      <c r="D8" s="2"/>
      <c r="E8" s="2"/>
      <c r="F8" s="2"/>
      <c r="G8" s="2"/>
      <c r="H8" s="2"/>
      <c r="I8" s="2"/>
      <c r="J8" s="2"/>
      <c r="K8" s="2"/>
      <c r="L8" s="2"/>
    </row>
    <row r="9" spans="1:12" ht="18.75" customHeight="1" x14ac:dyDescent="0.3">
      <c r="A9" s="118" t="s">
        <v>8</v>
      </c>
      <c r="B9" s="118"/>
      <c r="C9" s="118"/>
      <c r="D9" s="118"/>
      <c r="E9" s="118"/>
      <c r="F9" s="118"/>
      <c r="G9" s="118"/>
      <c r="H9" s="118"/>
      <c r="I9" s="118"/>
      <c r="J9" s="118"/>
      <c r="K9" s="118"/>
      <c r="L9" s="118"/>
    </row>
    <row r="10" spans="1:12" ht="18.75" customHeight="1" x14ac:dyDescent="0.3">
      <c r="A10" s="2"/>
      <c r="B10" s="2"/>
      <c r="C10" s="2"/>
      <c r="D10" s="2"/>
      <c r="E10" s="2"/>
      <c r="F10" s="2"/>
      <c r="G10" s="2"/>
      <c r="H10" s="2"/>
      <c r="I10" s="2"/>
      <c r="J10" s="2"/>
      <c r="K10" s="2"/>
      <c r="L10" s="2"/>
    </row>
    <row r="11" spans="1:12" ht="20.25" customHeight="1" x14ac:dyDescent="0.3">
      <c r="A11" s="118" t="str">
        <f>입찰리스트!C2</f>
        <v>창원지방</v>
      </c>
      <c r="B11" s="118"/>
      <c r="C11" s="2" t="s">
        <v>9</v>
      </c>
      <c r="D11" s="2"/>
      <c r="E11" s="118" t="str">
        <f>입찰리스트!C3</f>
        <v>통영</v>
      </c>
      <c r="F11" s="118"/>
      <c r="G11" s="2" t="s">
        <v>10</v>
      </c>
      <c r="H11" s="118" t="str">
        <f>입찰리스트!C4</f>
        <v>2024타경2243</v>
      </c>
      <c r="I11" s="118"/>
      <c r="J11" s="118"/>
      <c r="K11" s="2" t="s">
        <v>11</v>
      </c>
      <c r="L11" s="6" t="str">
        <f>IF(입찰리스트!C5="","",TEXT(입찰리스트!C5,"(0)"))</f>
        <v/>
      </c>
    </row>
    <row r="12" spans="1:12" ht="28.5" customHeight="1" x14ac:dyDescent="0.3">
      <c r="A12" s="118" t="s">
        <v>12</v>
      </c>
      <c r="B12" s="118"/>
      <c r="C12" s="118"/>
      <c r="D12" s="118"/>
      <c r="E12" s="118"/>
      <c r="F12" s="118"/>
      <c r="G12" s="118"/>
      <c r="H12" s="118"/>
      <c r="I12" s="118"/>
      <c r="J12" s="118"/>
      <c r="K12" s="118"/>
      <c r="L12" s="118"/>
    </row>
    <row r="13" spans="1:12" ht="28.5" customHeight="1" x14ac:dyDescent="0.3">
      <c r="A13" s="25"/>
      <c r="B13" s="25"/>
      <c r="C13" s="25"/>
      <c r="D13" s="25"/>
      <c r="E13" s="25"/>
      <c r="F13" s="119" t="str">
        <f>입찰리스트!C6</f>
        <v>2025년10월20일</v>
      </c>
      <c r="G13" s="119"/>
      <c r="H13" s="119"/>
      <c r="I13" s="119"/>
      <c r="J13" s="119"/>
      <c r="K13" s="119"/>
      <c r="L13" s="119"/>
    </row>
    <row r="14" spans="1:12" ht="28.5" customHeight="1" x14ac:dyDescent="0.3">
      <c r="A14" s="25"/>
      <c r="B14" s="25"/>
      <c r="C14" s="25"/>
      <c r="D14" s="25"/>
      <c r="E14" s="25"/>
      <c r="F14" s="25"/>
      <c r="G14" s="25"/>
      <c r="H14" s="25"/>
      <c r="I14" s="25"/>
      <c r="J14" s="25"/>
      <c r="K14" s="25"/>
      <c r="L14" s="25"/>
    </row>
    <row r="15" spans="1:12" ht="18.75" customHeight="1" thickBot="1" x14ac:dyDescent="0.35">
      <c r="A15" s="2"/>
      <c r="B15" s="2"/>
      <c r="C15" s="2"/>
      <c r="D15" s="2"/>
      <c r="E15" s="2"/>
      <c r="F15" s="2"/>
      <c r="G15" s="2"/>
      <c r="H15" s="2"/>
      <c r="I15" s="2"/>
      <c r="J15" s="2"/>
      <c r="K15" s="2"/>
      <c r="L15" s="2"/>
    </row>
    <row r="16" spans="1:12" ht="26.25" customHeight="1" x14ac:dyDescent="0.3">
      <c r="A16" s="121" t="s">
        <v>13</v>
      </c>
      <c r="B16" s="124" t="s">
        <v>2</v>
      </c>
      <c r="C16" s="125"/>
      <c r="D16" s="141" t="str">
        <f>입찰리스트!C27</f>
        <v>법인성명</v>
      </c>
      <c r="E16" s="142"/>
      <c r="F16" s="142"/>
      <c r="G16" s="143"/>
      <c r="H16" s="3" t="s">
        <v>3</v>
      </c>
      <c r="I16" s="127" t="str">
        <f>입찰리스트!C15</f>
        <v>회사원</v>
      </c>
      <c r="J16" s="127"/>
      <c r="K16" s="124"/>
      <c r="L16" s="128"/>
    </row>
    <row r="17" spans="1:12" ht="26.25" customHeight="1" x14ac:dyDescent="0.3">
      <c r="A17" s="122"/>
      <c r="B17" s="129" t="s">
        <v>4</v>
      </c>
      <c r="C17" s="130"/>
      <c r="D17" s="129" t="str">
        <f>입찰리스트!C28</f>
        <v>법인사업자번호</v>
      </c>
      <c r="E17" s="144"/>
      <c r="F17" s="144"/>
      <c r="G17" s="130"/>
      <c r="H17" s="4" t="s">
        <v>5</v>
      </c>
      <c r="I17" s="145" t="str">
        <f>입찰리스트!C17</f>
        <v>010-8295-0129</v>
      </c>
      <c r="J17" s="145"/>
      <c r="K17" s="129"/>
      <c r="L17" s="146"/>
    </row>
    <row r="18" spans="1:12" ht="26.25" customHeight="1" thickBot="1" x14ac:dyDescent="0.35">
      <c r="A18" s="123"/>
      <c r="B18" s="134" t="s">
        <v>6</v>
      </c>
      <c r="C18" s="135"/>
      <c r="D18" s="147" t="str">
        <f>입찰리스트!C30</f>
        <v>법인주소</v>
      </c>
      <c r="E18" s="148"/>
      <c r="F18" s="148"/>
      <c r="G18" s="148"/>
      <c r="H18" s="148"/>
      <c r="I18" s="148"/>
      <c r="J18" s="148"/>
      <c r="K18" s="148"/>
      <c r="L18" s="149"/>
    </row>
    <row r="19" spans="1:12" ht="26.25" customHeight="1" x14ac:dyDescent="0.3">
      <c r="A19" s="7"/>
      <c r="B19" s="8"/>
      <c r="C19" s="8"/>
      <c r="D19" s="9"/>
      <c r="E19" s="10"/>
      <c r="F19" s="10"/>
      <c r="G19" s="10"/>
      <c r="H19" s="10"/>
      <c r="I19" s="10"/>
      <c r="J19" s="10"/>
      <c r="K19" s="10"/>
      <c r="L19" s="10"/>
    </row>
    <row r="20" spans="1:12" ht="26.25" customHeight="1" x14ac:dyDescent="0.3">
      <c r="A20" s="7"/>
      <c r="B20" s="8"/>
      <c r="C20" s="8"/>
      <c r="D20" s="9"/>
      <c r="E20" s="10"/>
      <c r="F20" s="10"/>
      <c r="G20" s="10"/>
      <c r="H20" s="10"/>
      <c r="I20" s="10"/>
      <c r="J20" s="10"/>
      <c r="K20" s="10"/>
      <c r="L20" s="10"/>
    </row>
    <row r="21" spans="1:12" ht="26.25" customHeight="1" x14ac:dyDescent="0.3">
      <c r="A21" s="7"/>
      <c r="B21" s="8"/>
      <c r="C21" s="8"/>
      <c r="D21" s="9"/>
      <c r="E21" s="10"/>
      <c r="F21" s="10"/>
      <c r="G21" s="10"/>
      <c r="H21" s="10"/>
      <c r="I21" s="10"/>
      <c r="J21" s="10"/>
      <c r="K21" s="10"/>
      <c r="L21" s="10"/>
    </row>
    <row r="22" spans="1:12" ht="26.25" customHeight="1" x14ac:dyDescent="0.3">
      <c r="A22" s="7"/>
      <c r="B22" s="8"/>
      <c r="C22" s="8"/>
      <c r="D22" s="9"/>
      <c r="E22" s="10"/>
      <c r="F22" s="10"/>
      <c r="G22" s="10"/>
      <c r="H22" s="10"/>
      <c r="I22" s="10"/>
      <c r="J22" s="10"/>
      <c r="K22" s="10"/>
      <c r="L22" s="10"/>
    </row>
    <row r="23" spans="1:12" ht="26.25" customHeight="1" x14ac:dyDescent="0.3">
      <c r="A23" s="7"/>
      <c r="B23" s="8"/>
      <c r="C23" s="8"/>
      <c r="D23" s="9"/>
      <c r="E23" s="10"/>
      <c r="F23" s="10"/>
      <c r="G23" s="10"/>
      <c r="H23" s="10"/>
      <c r="I23" s="10"/>
      <c r="J23" s="10"/>
      <c r="K23" s="10"/>
      <c r="L23" s="10"/>
    </row>
    <row r="24" spans="1:12" ht="26.25" customHeight="1" x14ac:dyDescent="0.3">
      <c r="A24" s="7"/>
      <c r="B24" s="8"/>
      <c r="C24" s="8"/>
      <c r="D24" s="9"/>
      <c r="E24" s="10"/>
      <c r="F24" s="10"/>
      <c r="G24" s="10"/>
      <c r="H24" s="10"/>
      <c r="I24" s="10"/>
      <c r="J24" s="10"/>
      <c r="K24" s="10"/>
      <c r="L24" s="10"/>
    </row>
    <row r="25" spans="1:12" ht="26.25" customHeight="1" x14ac:dyDescent="0.3">
      <c r="A25" s="2"/>
      <c r="B25" s="2"/>
      <c r="C25" s="2"/>
      <c r="D25" s="2"/>
      <c r="E25" s="2"/>
      <c r="F25" s="2"/>
      <c r="G25" s="2"/>
      <c r="H25" s="2"/>
      <c r="I25" s="2"/>
      <c r="J25" s="2"/>
      <c r="K25" s="2"/>
      <c r="L25" s="2"/>
    </row>
    <row r="26" spans="1:12" ht="26.25" customHeight="1" x14ac:dyDescent="0.3">
      <c r="A26" s="2"/>
      <c r="B26" s="2"/>
      <c r="C26" s="2"/>
      <c r="D26" s="2"/>
      <c r="E26" s="2"/>
      <c r="F26" s="2"/>
      <c r="G26" s="2" t="s">
        <v>14</v>
      </c>
      <c r="H26" s="118" t="str">
        <f>입찰리스트!C27</f>
        <v>법인성명</v>
      </c>
      <c r="I26" s="118"/>
      <c r="J26" s="118"/>
      <c r="K26" s="118"/>
      <c r="L26" s="2" t="s">
        <v>15</v>
      </c>
    </row>
    <row r="27" spans="1:12" ht="26.25" customHeight="1" x14ac:dyDescent="0.3">
      <c r="A27" s="2"/>
      <c r="B27" s="2"/>
      <c r="C27" s="2"/>
      <c r="D27" s="2"/>
      <c r="E27" s="2"/>
      <c r="F27" s="2"/>
      <c r="G27" s="2"/>
      <c r="H27" s="2"/>
      <c r="I27" s="2"/>
      <c r="J27" s="2"/>
      <c r="K27" s="2"/>
      <c r="L27" s="2"/>
    </row>
    <row r="28" spans="1:12" ht="26.25" customHeight="1" x14ac:dyDescent="0.3">
      <c r="A28" s="140" t="s">
        <v>16</v>
      </c>
      <c r="B28" s="140"/>
      <c r="C28" s="140"/>
      <c r="D28" s="140"/>
      <c r="E28" s="140"/>
      <c r="F28" s="140"/>
      <c r="G28" s="140"/>
      <c r="H28" s="140"/>
      <c r="I28" s="140"/>
      <c r="J28" s="140"/>
      <c r="K28" s="140"/>
      <c r="L28" s="140"/>
    </row>
    <row r="29" spans="1:12" ht="26.25" customHeight="1" x14ac:dyDescent="0.3"/>
    <row r="30" spans="1:12" ht="26.25" customHeight="1" x14ac:dyDescent="0.3"/>
    <row r="31" spans="1:12" ht="8.25" customHeight="1" x14ac:dyDescent="0.3"/>
    <row r="32" spans="1:12" ht="18.75" customHeight="1" x14ac:dyDescent="0.3"/>
    <row r="33" ht="18.75" customHeight="1" x14ac:dyDescent="0.3"/>
  </sheetData>
  <mergeCells count="28">
    <mergeCell ref="A12:L12"/>
    <mergeCell ref="A1:L1"/>
    <mergeCell ref="A3:A5"/>
    <mergeCell ref="B3:C3"/>
    <mergeCell ref="D3:G3"/>
    <mergeCell ref="I3:L3"/>
    <mergeCell ref="B4:C4"/>
    <mergeCell ref="D4:G4"/>
    <mergeCell ref="I4:L4"/>
    <mergeCell ref="B5:C5"/>
    <mergeCell ref="D5:L5"/>
    <mergeCell ref="A7:L7"/>
    <mergeCell ref="A9:L9"/>
    <mergeCell ref="A11:B11"/>
    <mergeCell ref="E11:F11"/>
    <mergeCell ref="H11:J11"/>
    <mergeCell ref="H26:K26"/>
    <mergeCell ref="A28:L28"/>
    <mergeCell ref="F13:L13"/>
    <mergeCell ref="A16:A18"/>
    <mergeCell ref="B16:C16"/>
    <mergeCell ref="D16:G16"/>
    <mergeCell ref="I16:L16"/>
    <mergeCell ref="B17:C17"/>
    <mergeCell ref="D17:G17"/>
    <mergeCell ref="I17:L17"/>
    <mergeCell ref="B18:C18"/>
    <mergeCell ref="D18:L18"/>
  </mergeCells>
  <phoneticPr fontId="2" type="noConversion"/>
  <pageMargins left="1.1023622047244095"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A25"/>
  <sheetViews>
    <sheetView showGridLines="0" workbookViewId="0">
      <selection activeCell="AC17" sqref="AC17"/>
    </sheetView>
  </sheetViews>
  <sheetFormatPr defaultRowHeight="15.75" x14ac:dyDescent="0.3"/>
  <cols>
    <col min="1" max="1" width="5.5" style="2" customWidth="1"/>
    <col min="2" max="14" width="2.625" style="2" customWidth="1"/>
    <col min="15" max="15" width="5.5" style="2" customWidth="1"/>
    <col min="16" max="25" width="2.625" style="2" customWidth="1"/>
    <col min="26" max="26" width="3.125" style="2" customWidth="1"/>
    <col min="27" max="27" width="3.5" style="2" customWidth="1"/>
    <col min="28" max="16384" width="9" style="2"/>
  </cols>
  <sheetData>
    <row r="1" spans="1:27" x14ac:dyDescent="0.3">
      <c r="A1" s="172" t="s">
        <v>17</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row>
    <row r="2" spans="1:27" ht="42" customHeight="1" x14ac:dyDescent="0.3">
      <c r="A2" s="173" t="s">
        <v>18</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5"/>
    </row>
    <row r="3" spans="1:27" ht="16.5" customHeight="1" x14ac:dyDescent="0.3">
      <c r="A3" s="152" t="str">
        <f>입찰리스트!C2</f>
        <v>창원지방</v>
      </c>
      <c r="B3" s="152"/>
      <c r="C3" s="176" t="s">
        <v>19</v>
      </c>
      <c r="D3" s="176"/>
      <c r="E3" s="176"/>
      <c r="F3" s="176"/>
      <c r="G3" s="152" t="str">
        <f>입찰리스트!C3</f>
        <v>통영</v>
      </c>
      <c r="H3" s="152"/>
      <c r="I3" s="152"/>
      <c r="J3" s="177" t="s">
        <v>20</v>
      </c>
      <c r="K3" s="177"/>
      <c r="L3" s="177"/>
      <c r="M3" s="177"/>
      <c r="N3" s="177"/>
      <c r="O3" s="177"/>
      <c r="P3" s="31"/>
      <c r="Q3" s="178" t="s">
        <v>21</v>
      </c>
      <c r="R3" s="178"/>
      <c r="S3" s="178"/>
      <c r="T3" s="178"/>
      <c r="U3" s="152" t="str">
        <f>입찰리스트!C6</f>
        <v>2025년10월20일</v>
      </c>
      <c r="V3" s="152"/>
      <c r="W3" s="152"/>
      <c r="X3" s="152"/>
      <c r="Y3" s="152"/>
      <c r="Z3" s="152"/>
      <c r="AA3" s="153"/>
    </row>
    <row r="4" spans="1:27" ht="32.25" customHeight="1" x14ac:dyDescent="0.3">
      <c r="A4" s="179" t="s">
        <v>23</v>
      </c>
      <c r="B4" s="180"/>
      <c r="C4" s="150" t="str">
        <f>입찰리스트!C4</f>
        <v>2024타경2243</v>
      </c>
      <c r="D4" s="151"/>
      <c r="E4" s="151"/>
      <c r="F4" s="151"/>
      <c r="G4" s="151"/>
      <c r="H4" s="151"/>
      <c r="I4" s="151"/>
      <c r="J4" s="151"/>
      <c r="K4" s="151"/>
      <c r="L4" s="151"/>
      <c r="M4" s="151"/>
      <c r="N4" s="151"/>
      <c r="O4" s="12" t="s">
        <v>24</v>
      </c>
      <c r="P4" s="179" t="s">
        <v>25</v>
      </c>
      <c r="Q4" s="130"/>
      <c r="R4" s="150">
        <f>입찰리스트!C5</f>
        <v>0</v>
      </c>
      <c r="S4" s="151"/>
      <c r="T4" s="151"/>
      <c r="U4" s="151"/>
      <c r="V4" s="151"/>
      <c r="W4" s="151"/>
      <c r="X4" s="151"/>
      <c r="Y4" s="151"/>
      <c r="Z4" s="151"/>
      <c r="AA4" s="161"/>
    </row>
    <row r="5" spans="1:27" ht="15.75" customHeight="1" x14ac:dyDescent="0.3">
      <c r="A5" s="188" t="s">
        <v>26</v>
      </c>
      <c r="B5" s="145" t="s">
        <v>27</v>
      </c>
      <c r="C5" s="145"/>
      <c r="D5" s="145"/>
      <c r="E5" s="145" t="s">
        <v>28</v>
      </c>
      <c r="F5" s="145"/>
      <c r="G5" s="145"/>
      <c r="H5" s="145"/>
      <c r="I5" s="145"/>
      <c r="J5" s="145"/>
      <c r="K5" s="162" t="str">
        <f>입찰리스트!C27</f>
        <v>법인성명</v>
      </c>
      <c r="L5" s="163"/>
      <c r="M5" s="163"/>
      <c r="N5" s="163"/>
      <c r="O5" s="163"/>
      <c r="P5" s="163"/>
      <c r="Q5" s="164"/>
      <c r="R5" s="166" t="s">
        <v>5</v>
      </c>
      <c r="S5" s="167"/>
      <c r="T5" s="167"/>
      <c r="U5" s="168"/>
      <c r="V5" s="154" t="str">
        <f>입찰리스트!C17</f>
        <v>010-8295-0129</v>
      </c>
      <c r="W5" s="155"/>
      <c r="X5" s="155"/>
      <c r="Y5" s="155"/>
      <c r="Z5" s="155"/>
      <c r="AA5" s="156"/>
    </row>
    <row r="6" spans="1:27" x14ac:dyDescent="0.3">
      <c r="A6" s="188"/>
      <c r="B6" s="145"/>
      <c r="C6" s="145"/>
      <c r="D6" s="145"/>
      <c r="E6" s="145"/>
      <c r="F6" s="145"/>
      <c r="G6" s="145"/>
      <c r="H6" s="145"/>
      <c r="I6" s="145"/>
      <c r="J6" s="145"/>
      <c r="K6" s="165"/>
      <c r="L6" s="152"/>
      <c r="M6" s="152"/>
      <c r="N6" s="152"/>
      <c r="O6" s="152"/>
      <c r="P6" s="152"/>
      <c r="Q6" s="153"/>
      <c r="R6" s="169"/>
      <c r="S6" s="170"/>
      <c r="T6" s="170"/>
      <c r="U6" s="171"/>
      <c r="V6" s="157"/>
      <c r="W6" s="158"/>
      <c r="X6" s="158"/>
      <c r="Y6" s="158"/>
      <c r="Z6" s="158"/>
      <c r="AA6" s="159"/>
    </row>
    <row r="7" spans="1:27" ht="33" customHeight="1" x14ac:dyDescent="0.3">
      <c r="A7" s="188"/>
      <c r="B7" s="145"/>
      <c r="C7" s="145"/>
      <c r="D7" s="145"/>
      <c r="E7" s="160" t="s">
        <v>30</v>
      </c>
      <c r="F7" s="160"/>
      <c r="G7" s="160"/>
      <c r="H7" s="160"/>
      <c r="I7" s="160"/>
      <c r="J7" s="160"/>
      <c r="K7" s="150" t="str">
        <f>입찰리스트!C28</f>
        <v>법인사업자번호</v>
      </c>
      <c r="L7" s="151"/>
      <c r="M7" s="151"/>
      <c r="N7" s="151"/>
      <c r="O7" s="151"/>
      <c r="P7" s="161"/>
      <c r="Q7" s="189" t="s">
        <v>31</v>
      </c>
      <c r="R7" s="190"/>
      <c r="S7" s="191"/>
      <c r="T7" s="144" t="str">
        <f>입찰리스트!C29</f>
        <v>법인등록번호</v>
      </c>
      <c r="U7" s="144"/>
      <c r="V7" s="144"/>
      <c r="W7" s="144"/>
      <c r="X7" s="144"/>
      <c r="Y7" s="144"/>
      <c r="Z7" s="144"/>
      <c r="AA7" s="130"/>
    </row>
    <row r="8" spans="1:27" ht="15.75" customHeight="1" x14ac:dyDescent="0.3">
      <c r="A8" s="188"/>
      <c r="B8" s="145"/>
      <c r="C8" s="145"/>
      <c r="D8" s="145"/>
      <c r="E8" s="145" t="s">
        <v>32</v>
      </c>
      <c r="F8" s="145"/>
      <c r="G8" s="145"/>
      <c r="H8" s="145"/>
      <c r="I8" s="145"/>
      <c r="J8" s="145"/>
      <c r="K8" s="183" t="str">
        <f>입찰리스트!C30</f>
        <v>법인주소</v>
      </c>
      <c r="L8" s="183"/>
      <c r="M8" s="183"/>
      <c r="N8" s="183"/>
      <c r="O8" s="183"/>
      <c r="P8" s="183"/>
      <c r="Q8" s="183"/>
      <c r="R8" s="183"/>
      <c r="S8" s="183"/>
      <c r="T8" s="183"/>
      <c r="U8" s="183"/>
      <c r="V8" s="183"/>
      <c r="W8" s="183"/>
      <c r="X8" s="183"/>
      <c r="Y8" s="183"/>
      <c r="Z8" s="183"/>
      <c r="AA8" s="183"/>
    </row>
    <row r="9" spans="1:27" x14ac:dyDescent="0.3">
      <c r="A9" s="188"/>
      <c r="B9" s="145"/>
      <c r="C9" s="145"/>
      <c r="D9" s="145"/>
      <c r="E9" s="145"/>
      <c r="F9" s="145"/>
      <c r="G9" s="145"/>
      <c r="H9" s="145"/>
      <c r="I9" s="145"/>
      <c r="J9" s="145"/>
      <c r="K9" s="183"/>
      <c r="L9" s="183"/>
      <c r="M9" s="183"/>
      <c r="N9" s="183"/>
      <c r="O9" s="183"/>
      <c r="P9" s="183"/>
      <c r="Q9" s="183"/>
      <c r="R9" s="183"/>
      <c r="S9" s="183"/>
      <c r="T9" s="183"/>
      <c r="U9" s="183"/>
      <c r="V9" s="183"/>
      <c r="W9" s="183"/>
      <c r="X9" s="183"/>
      <c r="Y9" s="183"/>
      <c r="Z9" s="183"/>
      <c r="AA9" s="183"/>
    </row>
    <row r="10" spans="1:27" x14ac:dyDescent="0.3">
      <c r="A10" s="188"/>
      <c r="B10" s="145" t="s">
        <v>33</v>
      </c>
      <c r="C10" s="145"/>
      <c r="D10" s="145"/>
      <c r="E10" s="145" t="s">
        <v>34</v>
      </c>
      <c r="F10" s="145"/>
      <c r="G10" s="145"/>
      <c r="H10" s="145"/>
      <c r="I10" s="145"/>
      <c r="J10" s="145"/>
      <c r="K10" s="154" t="str">
        <f>입찰리스트!C32</f>
        <v>이정우</v>
      </c>
      <c r="L10" s="155"/>
      <c r="M10" s="155"/>
      <c r="N10" s="155"/>
      <c r="O10" s="155"/>
      <c r="P10" s="167" t="s">
        <v>35</v>
      </c>
      <c r="Q10" s="168"/>
      <c r="R10" s="160" t="s">
        <v>36</v>
      </c>
      <c r="S10" s="145"/>
      <c r="T10" s="145"/>
      <c r="U10" s="145"/>
      <c r="V10" s="145" t="s">
        <v>37</v>
      </c>
      <c r="W10" s="145"/>
      <c r="X10" s="145"/>
      <c r="Y10" s="145"/>
      <c r="Z10" s="145"/>
      <c r="AA10" s="145"/>
    </row>
    <row r="11" spans="1:27" x14ac:dyDescent="0.3">
      <c r="A11" s="188"/>
      <c r="B11" s="145"/>
      <c r="C11" s="145"/>
      <c r="D11" s="145"/>
      <c r="E11" s="145"/>
      <c r="F11" s="145"/>
      <c r="G11" s="145"/>
      <c r="H11" s="145"/>
      <c r="I11" s="145"/>
      <c r="J11" s="145"/>
      <c r="K11" s="157"/>
      <c r="L11" s="158"/>
      <c r="M11" s="158"/>
      <c r="N11" s="158"/>
      <c r="O11" s="158"/>
      <c r="P11" s="170"/>
      <c r="Q11" s="171"/>
      <c r="R11" s="145"/>
      <c r="S11" s="145"/>
      <c r="T11" s="145"/>
      <c r="U11" s="145"/>
      <c r="V11" s="145"/>
      <c r="W11" s="145"/>
      <c r="X11" s="145"/>
      <c r="Y11" s="145"/>
      <c r="Z11" s="145"/>
      <c r="AA11" s="145"/>
    </row>
    <row r="12" spans="1:27" ht="15.75" customHeight="1" x14ac:dyDescent="0.3">
      <c r="A12" s="188"/>
      <c r="B12" s="145"/>
      <c r="C12" s="145"/>
      <c r="D12" s="145"/>
      <c r="E12" s="160" t="s">
        <v>38</v>
      </c>
      <c r="F12" s="160"/>
      <c r="G12" s="160"/>
      <c r="H12" s="160"/>
      <c r="I12" s="160"/>
      <c r="J12" s="160"/>
      <c r="K12" s="184" t="str">
        <f>입찰리스트!C34</f>
        <v>780126-1851627</v>
      </c>
      <c r="L12" s="184"/>
      <c r="M12" s="184"/>
      <c r="N12" s="184"/>
      <c r="O12" s="184"/>
      <c r="P12" s="184"/>
      <c r="Q12" s="184"/>
      <c r="R12" s="166" t="s">
        <v>5</v>
      </c>
      <c r="S12" s="167"/>
      <c r="T12" s="167"/>
      <c r="U12" s="168"/>
      <c r="V12" s="154" t="str">
        <f>입찰리스트!C35</f>
        <v>010-4238-7781</v>
      </c>
      <c r="W12" s="155"/>
      <c r="X12" s="155"/>
      <c r="Y12" s="155"/>
      <c r="Z12" s="155"/>
      <c r="AA12" s="156"/>
    </row>
    <row r="13" spans="1:27" ht="15.75" customHeight="1" x14ac:dyDescent="0.3">
      <c r="A13" s="188"/>
      <c r="B13" s="145"/>
      <c r="C13" s="145"/>
      <c r="D13" s="145"/>
      <c r="E13" s="160"/>
      <c r="F13" s="160"/>
      <c r="G13" s="160"/>
      <c r="H13" s="160"/>
      <c r="I13" s="160"/>
      <c r="J13" s="160"/>
      <c r="K13" s="184"/>
      <c r="L13" s="184"/>
      <c r="M13" s="184"/>
      <c r="N13" s="184"/>
      <c r="O13" s="184"/>
      <c r="P13" s="184"/>
      <c r="Q13" s="184"/>
      <c r="R13" s="169"/>
      <c r="S13" s="170"/>
      <c r="T13" s="170"/>
      <c r="U13" s="171"/>
      <c r="V13" s="157"/>
      <c r="W13" s="158"/>
      <c r="X13" s="158"/>
      <c r="Y13" s="158"/>
      <c r="Z13" s="158"/>
      <c r="AA13" s="159"/>
    </row>
    <row r="14" spans="1:27" x14ac:dyDescent="0.3">
      <c r="A14" s="188"/>
      <c r="B14" s="145"/>
      <c r="C14" s="145"/>
      <c r="D14" s="145"/>
      <c r="E14" s="145" t="s">
        <v>39</v>
      </c>
      <c r="F14" s="145"/>
      <c r="G14" s="145"/>
      <c r="H14" s="145"/>
      <c r="I14" s="145"/>
      <c r="J14" s="145"/>
      <c r="K14" s="186" t="str">
        <f>입찰리스트!C36</f>
        <v>부산시 부산진구 전포대로 280 한성시티빌 1303호</v>
      </c>
      <c r="L14" s="186"/>
      <c r="M14" s="186"/>
      <c r="N14" s="186"/>
      <c r="O14" s="186"/>
      <c r="P14" s="186"/>
      <c r="Q14" s="186"/>
      <c r="R14" s="186"/>
      <c r="S14" s="186"/>
      <c r="T14" s="186"/>
      <c r="U14" s="186"/>
      <c r="V14" s="186"/>
      <c r="W14" s="186"/>
      <c r="X14" s="186"/>
      <c r="Y14" s="186"/>
      <c r="Z14" s="186"/>
      <c r="AA14" s="186"/>
    </row>
    <row r="15" spans="1:27" x14ac:dyDescent="0.3">
      <c r="A15" s="188"/>
      <c r="B15" s="145"/>
      <c r="C15" s="145"/>
      <c r="D15" s="145"/>
      <c r="E15" s="145"/>
      <c r="F15" s="145"/>
      <c r="G15" s="145"/>
      <c r="H15" s="145"/>
      <c r="I15" s="145"/>
      <c r="J15" s="145"/>
      <c r="K15" s="186"/>
      <c r="L15" s="186"/>
      <c r="M15" s="186"/>
      <c r="N15" s="186"/>
      <c r="O15" s="186"/>
      <c r="P15" s="186"/>
      <c r="Q15" s="186"/>
      <c r="R15" s="186"/>
      <c r="S15" s="186"/>
      <c r="T15" s="186"/>
      <c r="U15" s="186"/>
      <c r="V15" s="186"/>
      <c r="W15" s="186"/>
      <c r="X15" s="186"/>
      <c r="Y15" s="186"/>
      <c r="Z15" s="186"/>
      <c r="AA15" s="186"/>
    </row>
    <row r="16" spans="1:27" ht="30.75" thickBot="1" x14ac:dyDescent="0.35">
      <c r="A16" s="160" t="s">
        <v>40</v>
      </c>
      <c r="B16" s="13" t="s">
        <v>41</v>
      </c>
      <c r="C16" s="13" t="s">
        <v>42</v>
      </c>
      <c r="D16" s="13" t="s">
        <v>43</v>
      </c>
      <c r="E16" s="29" t="s">
        <v>44</v>
      </c>
      <c r="F16" s="29" t="s">
        <v>45</v>
      </c>
      <c r="G16" s="29" t="s">
        <v>46</v>
      </c>
      <c r="H16" s="13" t="s">
        <v>47</v>
      </c>
      <c r="I16" s="13" t="s">
        <v>48</v>
      </c>
      <c r="J16" s="13" t="s">
        <v>49</v>
      </c>
      <c r="K16" s="29" t="s">
        <v>50</v>
      </c>
      <c r="L16" s="29" t="s">
        <v>51</v>
      </c>
      <c r="M16" s="29" t="s">
        <v>22</v>
      </c>
      <c r="N16" s="187" t="s">
        <v>52</v>
      </c>
      <c r="O16" s="160" t="s">
        <v>53</v>
      </c>
      <c r="P16" s="13" t="s">
        <v>42</v>
      </c>
      <c r="Q16" s="13" t="s">
        <v>43</v>
      </c>
      <c r="R16" s="29" t="s">
        <v>44</v>
      </c>
      <c r="S16" s="29" t="s">
        <v>45</v>
      </c>
      <c r="T16" s="29" t="s">
        <v>46</v>
      </c>
      <c r="U16" s="13" t="s">
        <v>47</v>
      </c>
      <c r="V16" s="13" t="s">
        <v>48</v>
      </c>
      <c r="W16" s="13" t="s">
        <v>49</v>
      </c>
      <c r="X16" s="29" t="s">
        <v>50</v>
      </c>
      <c r="Y16" s="29" t="s">
        <v>51</v>
      </c>
      <c r="Z16" s="29" t="s">
        <v>22</v>
      </c>
      <c r="AA16" s="187" t="s">
        <v>52</v>
      </c>
    </row>
    <row r="17" spans="1:27" ht="49.5" customHeight="1" thickBot="1" x14ac:dyDescent="0.35">
      <c r="A17" s="160"/>
      <c r="B17" s="14" t="str">
        <f>IF(COLUMN(A1)&lt;=12-LEN(입찰리스트!$C7),"",MID(입찰리스트!$C7,COLUMN(A1)-(12-LEN(입찰리스트!$C7)),1))</f>
        <v/>
      </c>
      <c r="C17" s="14" t="str">
        <f>IF(COLUMN(B1)&lt;=12-LEN(입찰리스트!$C7),"",MID(입찰리스트!$C7,COLUMN(B1)-(12-LEN(입찰리스트!$C7)),1))</f>
        <v/>
      </c>
      <c r="D17" s="14" t="str">
        <f>IF(COLUMN(C1)&lt;=12-LEN(입찰리스트!$C7),"",MID(입찰리스트!$C7,COLUMN(C1)-(12-LEN(입찰리스트!$C7)),1))</f>
        <v/>
      </c>
      <c r="E17" s="32" t="str">
        <f>IF(COLUMN(D1)&lt;=12-LEN(입찰리스트!$C7),"",MID(입찰리스트!$C7,COLUMN(D1)-(12-LEN(입찰리스트!$C7)),1))</f>
        <v/>
      </c>
      <c r="F17" s="32" t="str">
        <f>IF(COLUMN(E1)&lt;=12-LEN(입찰리스트!$C7),"",MID(입찰리스트!$C7,COLUMN(E1)-(12-LEN(입찰리스트!$C7)),1))</f>
        <v>7</v>
      </c>
      <c r="G17" s="32" t="str">
        <f>IF(COLUMN(F1)&lt;=12-LEN(입찰리스트!$C7),"",MID(입찰리스트!$C7,COLUMN(F1)-(12-LEN(입찰리스트!$C7)),1))</f>
        <v>3</v>
      </c>
      <c r="H17" s="14" t="str">
        <f>IF(COLUMN(G1)&lt;=12-LEN(입찰리스트!$C7),"",MID(입찰리스트!$C7,COLUMN(G1)-(12-LEN(입찰리스트!$C7)),1))</f>
        <v>9</v>
      </c>
      <c r="I17" s="14" t="str">
        <f>IF(COLUMN(H1)&lt;=12-LEN(입찰리스트!$C7),"",MID(입찰리스트!$C7,COLUMN(H1)-(12-LEN(입찰리스트!$C7)),1))</f>
        <v>0</v>
      </c>
      <c r="J17" s="14" t="str">
        <f>IF(COLUMN(I1)&lt;=12-LEN(입찰리스트!$C7),"",MID(입찰리스트!$C7,COLUMN(I1)-(12-LEN(입찰리스트!$C7)),1))</f>
        <v>0</v>
      </c>
      <c r="K17" s="15" t="str">
        <f>IF(COLUMN(J1)&lt;=12-LEN(입찰리스트!$C7),"",MID(입찰리스트!$C7,COLUMN(J1)-(12-LEN(입찰리스트!$C7)),1))</f>
        <v>0</v>
      </c>
      <c r="L17" s="15" t="str">
        <f>IF(COLUMN(K1)&lt;=12-LEN(입찰리스트!$C7),"",MID(입찰리스트!$C7,COLUMN(K1)-(12-LEN(입찰리스트!$C7)),1))</f>
        <v>0</v>
      </c>
      <c r="M17" s="15" t="str">
        <f>IF(COLUMN(L1)&lt;=12-LEN(입찰리스트!$C7),"",MID(입찰리스트!$C7,COLUMN(L1)-(12-LEN(입찰리스트!$C7)),1))</f>
        <v>0</v>
      </c>
      <c r="N17" s="187"/>
      <c r="O17" s="160"/>
      <c r="P17" s="14" t="str">
        <f>IF(COLUMN(A1)&lt;=11-LEN(입찰리스트!$C8),"",MID(입찰리스트!$C8,COLUMN(A1)-(11-LEN(입찰리스트!$C8)),1))</f>
        <v/>
      </c>
      <c r="Q17" s="14" t="str">
        <f>IF(COLUMN(B1)&lt;=11-LEN(입찰리스트!$C8),"",MID(입찰리스트!$C8,COLUMN(B1)-(11-LEN(입찰리스트!$C8)),1))</f>
        <v/>
      </c>
      <c r="R17" s="15" t="str">
        <f>IF(COLUMN(C1)&lt;=11-LEN(입찰리스트!$C8),"",MID(입찰리스트!$C8,COLUMN(C1)-(11-LEN(입찰리스트!$C8)),1))</f>
        <v/>
      </c>
      <c r="S17" s="15" t="str">
        <f>IF(COLUMN(D1)&lt;=11-LEN(입찰리스트!$C8),"",MID(입찰리스트!$C8,COLUMN(D1)-(11-LEN(입찰리스트!$C8)),1))</f>
        <v/>
      </c>
      <c r="T17" s="15" t="str">
        <f>IF(COLUMN(E1)&lt;=11-LEN(입찰리스트!$C8),"",MID(입찰리스트!$C8,COLUMN(E1)-(11-LEN(입찰리스트!$C8)),1))</f>
        <v>7</v>
      </c>
      <c r="U17" s="14" t="str">
        <f>IF(COLUMN(F1)&lt;=11-LEN(입찰리스트!$C8),"",MID(입찰리스트!$C8,COLUMN(F1)-(11-LEN(입찰리스트!$C8)),1))</f>
        <v>2</v>
      </c>
      <c r="V17" s="14" t="str">
        <f>IF(COLUMN(G1)&lt;=11-LEN(입찰리스트!$C8),"",MID(입찰리스트!$C8,COLUMN(G1)-(11-LEN(입찰리스트!$C8)),1))</f>
        <v>0</v>
      </c>
      <c r="W17" s="14" t="str">
        <f>IF(COLUMN(H1)&lt;=11-LEN(입찰리스트!$C8),"",MID(입찰리스트!$C8,COLUMN(H1)-(11-LEN(입찰리스트!$C8)),1))</f>
        <v>8</v>
      </c>
      <c r="X17" s="15" t="str">
        <f>IF(COLUMN(I1)&lt;=11-LEN(입찰리스트!$C8),"",MID(입찰리스트!$C8,COLUMN(I1)-(11-LEN(입찰리스트!$C8)),1))</f>
        <v>5</v>
      </c>
      <c r="Y17" s="15" t="str">
        <f>IF(COLUMN(J1)&lt;=11-LEN(입찰리스트!$C8),"",MID(입찰리스트!$C8,COLUMN(J1)-(11-LEN(입찰리스트!$C8)),1))</f>
        <v>0</v>
      </c>
      <c r="Z17" s="15" t="str">
        <f>IF(COLUMN(K1)&lt;=11-LEN(입찰리스트!$C8),"",MID(입찰리스트!$C8,COLUMN(K1)-(11-LEN(입찰리스트!$C8)),1))</f>
        <v>0</v>
      </c>
      <c r="AA17" s="187"/>
    </row>
    <row r="18" spans="1:27" ht="8.25" customHeight="1" x14ac:dyDescent="0.3">
      <c r="A18" s="17"/>
      <c r="O18" s="18"/>
      <c r="AA18" s="19"/>
    </row>
    <row r="19" spans="1:27" ht="16.5" customHeight="1" x14ac:dyDescent="0.3">
      <c r="A19" s="192" t="s">
        <v>54</v>
      </c>
      <c r="B19" s="182"/>
      <c r="C19" s="182"/>
      <c r="D19" s="182"/>
      <c r="F19" s="26" t="s">
        <v>55</v>
      </c>
      <c r="G19" s="181" t="s">
        <v>56</v>
      </c>
      <c r="H19" s="182"/>
      <c r="I19" s="182"/>
      <c r="J19" s="182"/>
      <c r="K19" s="182"/>
      <c r="L19" s="182"/>
      <c r="M19" s="182"/>
      <c r="O19" s="17" t="s">
        <v>57</v>
      </c>
      <c r="AA19" s="19"/>
    </row>
    <row r="20" spans="1:27" ht="16.5" customHeight="1" x14ac:dyDescent="0.3">
      <c r="A20" s="181"/>
      <c r="B20" s="182"/>
      <c r="C20" s="182"/>
      <c r="D20" s="182"/>
      <c r="F20" s="20"/>
      <c r="G20" s="181" t="s">
        <v>58</v>
      </c>
      <c r="H20" s="182"/>
      <c r="I20" s="182"/>
      <c r="J20" s="182"/>
      <c r="K20" s="182"/>
      <c r="L20" s="182"/>
      <c r="M20" s="182"/>
      <c r="O20" s="17"/>
      <c r="AA20" s="19"/>
    </row>
    <row r="21" spans="1:27" ht="8.25" customHeight="1" x14ac:dyDescent="0.3">
      <c r="A21" s="17"/>
      <c r="O21" s="17"/>
      <c r="AA21" s="19"/>
    </row>
    <row r="22" spans="1:27" ht="16.5" customHeight="1" x14ac:dyDescent="0.3">
      <c r="A22" s="17"/>
      <c r="O22" s="17"/>
      <c r="P22" s="118" t="s">
        <v>59</v>
      </c>
      <c r="Q22" s="118"/>
      <c r="R22" s="118"/>
      <c r="S22" s="118"/>
      <c r="T22" s="118"/>
      <c r="U22" s="118" t="str">
        <f>입찰리스트!C32</f>
        <v>이정우</v>
      </c>
      <c r="V22" s="118"/>
      <c r="W22" s="118"/>
      <c r="X22" s="118"/>
      <c r="Y22" s="118"/>
      <c r="Z22" s="21" t="s">
        <v>35</v>
      </c>
      <c r="AA22" s="19"/>
    </row>
    <row r="23" spans="1:27" ht="8.25" customHeight="1" x14ac:dyDescent="0.3">
      <c r="A23" s="22"/>
      <c r="B23" s="11"/>
      <c r="C23" s="11"/>
      <c r="D23" s="11"/>
      <c r="E23" s="11"/>
      <c r="F23" s="11"/>
      <c r="G23" s="11"/>
      <c r="H23" s="11"/>
      <c r="I23" s="11"/>
      <c r="J23" s="11"/>
      <c r="K23" s="11"/>
      <c r="L23" s="11"/>
      <c r="M23" s="11"/>
      <c r="N23" s="11"/>
      <c r="O23" s="22"/>
      <c r="P23" s="11"/>
      <c r="Q23" s="11"/>
      <c r="R23" s="11"/>
      <c r="S23" s="11"/>
      <c r="T23" s="11"/>
      <c r="U23" s="11"/>
      <c r="V23" s="11"/>
      <c r="W23" s="11"/>
      <c r="X23" s="11"/>
      <c r="Y23" s="11"/>
      <c r="Z23" s="11"/>
      <c r="AA23" s="23"/>
    </row>
    <row r="24" spans="1:27" ht="8.25" customHeight="1" x14ac:dyDescent="0.3">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spans="1:27" ht="275.25" customHeight="1" x14ac:dyDescent="0.3">
      <c r="A25" s="185" t="s">
        <v>60</v>
      </c>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row>
  </sheetData>
  <mergeCells count="46">
    <mergeCell ref="A1:AA1"/>
    <mergeCell ref="A2:AA2"/>
    <mergeCell ref="A3:B3"/>
    <mergeCell ref="C3:F3"/>
    <mergeCell ref="G3:I3"/>
    <mergeCell ref="J3:O3"/>
    <mergeCell ref="Q3:T3"/>
    <mergeCell ref="U3:AA3"/>
    <mergeCell ref="A4:B4"/>
    <mergeCell ref="C4:N4"/>
    <mergeCell ref="P4:Q4"/>
    <mergeCell ref="R4:AA4"/>
    <mergeCell ref="A5:A15"/>
    <mergeCell ref="B5:D9"/>
    <mergeCell ref="E5:J6"/>
    <mergeCell ref="K5:Q6"/>
    <mergeCell ref="R5:U6"/>
    <mergeCell ref="V5:AA6"/>
    <mergeCell ref="V12:AA13"/>
    <mergeCell ref="E7:J7"/>
    <mergeCell ref="K7:P7"/>
    <mergeCell ref="Q7:S7"/>
    <mergeCell ref="T7:AA7"/>
    <mergeCell ref="E8:J9"/>
    <mergeCell ref="K8:AA9"/>
    <mergeCell ref="A25:AA25"/>
    <mergeCell ref="E14:J15"/>
    <mergeCell ref="K14:AA15"/>
    <mergeCell ref="A16:A17"/>
    <mergeCell ref="N16:N17"/>
    <mergeCell ref="O16:O17"/>
    <mergeCell ref="AA16:AA17"/>
    <mergeCell ref="B10:D15"/>
    <mergeCell ref="E10:J11"/>
    <mergeCell ref="K10:O11"/>
    <mergeCell ref="P10:Q11"/>
    <mergeCell ref="R10:U11"/>
    <mergeCell ref="V10:AA11"/>
    <mergeCell ref="E12:J13"/>
    <mergeCell ref="K12:Q13"/>
    <mergeCell ref="R12:U13"/>
    <mergeCell ref="A19:D20"/>
    <mergeCell ref="G19:M19"/>
    <mergeCell ref="G20:M20"/>
    <mergeCell ref="P22:T22"/>
    <mergeCell ref="U22:Y22"/>
  </mergeCells>
  <phoneticPr fontId="2" type="noConversion"/>
  <pageMargins left="0.9055118110236221" right="0.70866141732283472" top="0.74803149606299213" bottom="0.74803149606299213" header="0.31496062992125984" footer="0.31496062992125984"/>
  <pageSetup paperSize="9" scale="9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4"/>
  <sheetViews>
    <sheetView workbookViewId="0">
      <selection activeCell="A29" sqref="A29"/>
    </sheetView>
  </sheetViews>
  <sheetFormatPr defaultRowHeight="16.5" x14ac:dyDescent="0.3"/>
  <cols>
    <col min="1" max="1" width="45.625" bestFit="1" customWidth="1"/>
  </cols>
  <sheetData>
    <row r="1" spans="1:1" x14ac:dyDescent="0.3">
      <c r="A1" t="s">
        <v>125</v>
      </c>
    </row>
    <row r="2" spans="1:1" x14ac:dyDescent="0.3">
      <c r="A2" t="s">
        <v>126</v>
      </c>
    </row>
    <row r="3" spans="1:1" x14ac:dyDescent="0.3">
      <c r="A3" t="s">
        <v>127</v>
      </c>
    </row>
    <row r="4" spans="1:1" x14ac:dyDescent="0.3">
      <c r="A4" t="s">
        <v>128</v>
      </c>
    </row>
    <row r="5" spans="1:1" x14ac:dyDescent="0.3">
      <c r="A5" t="s">
        <v>129</v>
      </c>
    </row>
    <row r="6" spans="1:1" x14ac:dyDescent="0.3">
      <c r="A6" t="s">
        <v>130</v>
      </c>
    </row>
    <row r="7" spans="1:1" x14ac:dyDescent="0.3">
      <c r="A7" t="s">
        <v>131</v>
      </c>
    </row>
    <row r="8" spans="1:1" x14ac:dyDescent="0.3">
      <c r="A8" t="s">
        <v>132</v>
      </c>
    </row>
    <row r="9" spans="1:1" x14ac:dyDescent="0.3">
      <c r="A9" t="s">
        <v>133</v>
      </c>
    </row>
    <row r="10" spans="1:1" x14ac:dyDescent="0.3">
      <c r="A10" t="s">
        <v>134</v>
      </c>
    </row>
    <row r="11" spans="1:1" x14ac:dyDescent="0.3">
      <c r="A11" t="s">
        <v>135</v>
      </c>
    </row>
    <row r="12" spans="1:1" x14ac:dyDescent="0.3">
      <c r="A12" t="s">
        <v>136</v>
      </c>
    </row>
    <row r="13" spans="1:1" x14ac:dyDescent="0.3">
      <c r="A13" t="s">
        <v>137</v>
      </c>
    </row>
    <row r="14" spans="1:1" x14ac:dyDescent="0.3">
      <c r="A14" t="s">
        <v>138</v>
      </c>
    </row>
    <row r="15" spans="1:1" x14ac:dyDescent="0.3">
      <c r="A15" t="s">
        <v>139</v>
      </c>
    </row>
    <row r="16" spans="1:1" x14ac:dyDescent="0.3">
      <c r="A16" t="s">
        <v>140</v>
      </c>
    </row>
    <row r="17" spans="1:1" x14ac:dyDescent="0.3">
      <c r="A17" t="s">
        <v>141</v>
      </c>
    </row>
    <row r="18" spans="1:1" x14ac:dyDescent="0.3">
      <c r="A18" t="s">
        <v>142</v>
      </c>
    </row>
    <row r="19" spans="1:1" x14ac:dyDescent="0.3">
      <c r="A19" t="s">
        <v>143</v>
      </c>
    </row>
    <row r="20" spans="1:1" x14ac:dyDescent="0.3">
      <c r="A20" t="s">
        <v>144</v>
      </c>
    </row>
    <row r="21" spans="1:1" x14ac:dyDescent="0.3">
      <c r="A21" t="s">
        <v>145</v>
      </c>
    </row>
    <row r="22" spans="1:1" x14ac:dyDescent="0.3">
      <c r="A22" t="s">
        <v>146</v>
      </c>
    </row>
    <row r="23" spans="1:1" x14ac:dyDescent="0.3">
      <c r="A23" t="s">
        <v>147</v>
      </c>
    </row>
    <row r="24" spans="1:1" x14ac:dyDescent="0.3">
      <c r="A24" t="s">
        <v>148</v>
      </c>
    </row>
    <row r="25" spans="1:1" x14ac:dyDescent="0.3">
      <c r="A25" t="s">
        <v>149</v>
      </c>
    </row>
    <row r="26" spans="1:1" x14ac:dyDescent="0.3">
      <c r="A26" t="s">
        <v>150</v>
      </c>
    </row>
    <row r="27" spans="1:1" x14ac:dyDescent="0.3">
      <c r="A27" t="s">
        <v>151</v>
      </c>
    </row>
    <row r="28" spans="1:1" x14ac:dyDescent="0.3">
      <c r="A28" t="s">
        <v>152</v>
      </c>
    </row>
    <row r="29" spans="1:1" x14ac:dyDescent="0.3">
      <c r="A29" t="s">
        <v>153</v>
      </c>
    </row>
    <row r="30" spans="1:1" x14ac:dyDescent="0.3">
      <c r="A30" t="s">
        <v>154</v>
      </c>
    </row>
    <row r="31" spans="1:1" x14ac:dyDescent="0.3">
      <c r="A31" t="s">
        <v>155</v>
      </c>
    </row>
    <row r="32" spans="1:1" x14ac:dyDescent="0.3">
      <c r="A32" t="s">
        <v>156</v>
      </c>
    </row>
    <row r="33" spans="1:1" x14ac:dyDescent="0.3">
      <c r="A33" t="s">
        <v>157</v>
      </c>
    </row>
    <row r="34" spans="1:1" x14ac:dyDescent="0.3">
      <c r="A34" t="s">
        <v>158</v>
      </c>
    </row>
    <row r="35" spans="1:1" x14ac:dyDescent="0.3">
      <c r="A35" t="s">
        <v>159</v>
      </c>
    </row>
    <row r="36" spans="1:1" x14ac:dyDescent="0.3">
      <c r="A36" t="s">
        <v>160</v>
      </c>
    </row>
    <row r="37" spans="1:1" x14ac:dyDescent="0.3">
      <c r="A37" t="s">
        <v>161</v>
      </c>
    </row>
    <row r="38" spans="1:1" x14ac:dyDescent="0.3">
      <c r="A38" t="s">
        <v>162</v>
      </c>
    </row>
    <row r="39" spans="1:1" x14ac:dyDescent="0.3">
      <c r="A39" t="s">
        <v>163</v>
      </c>
    </row>
    <row r="40" spans="1:1" x14ac:dyDescent="0.3">
      <c r="A40" t="s">
        <v>164</v>
      </c>
    </row>
    <row r="41" spans="1:1" x14ac:dyDescent="0.3">
      <c r="A41" t="s">
        <v>165</v>
      </c>
    </row>
    <row r="42" spans="1:1" x14ac:dyDescent="0.3">
      <c r="A42" t="s">
        <v>166</v>
      </c>
    </row>
    <row r="43" spans="1:1" x14ac:dyDescent="0.3">
      <c r="A43" t="s">
        <v>167</v>
      </c>
    </row>
    <row r="44" spans="1:1" x14ac:dyDescent="0.3">
      <c r="A44" t="s">
        <v>168</v>
      </c>
    </row>
    <row r="45" spans="1:1" x14ac:dyDescent="0.3">
      <c r="A45" t="s">
        <v>169</v>
      </c>
    </row>
    <row r="46" spans="1:1" x14ac:dyDescent="0.3">
      <c r="A46" t="s">
        <v>170</v>
      </c>
    </row>
    <row r="47" spans="1:1" x14ac:dyDescent="0.3">
      <c r="A47" t="s">
        <v>171</v>
      </c>
    </row>
    <row r="48" spans="1:1" x14ac:dyDescent="0.3">
      <c r="A48" t="s">
        <v>172</v>
      </c>
    </row>
    <row r="49" spans="1:1" x14ac:dyDescent="0.3">
      <c r="A49" t="s">
        <v>173</v>
      </c>
    </row>
    <row r="50" spans="1:1" x14ac:dyDescent="0.3">
      <c r="A50" t="s">
        <v>174</v>
      </c>
    </row>
    <row r="51" spans="1:1" x14ac:dyDescent="0.3">
      <c r="A51" t="s">
        <v>175</v>
      </c>
    </row>
    <row r="52" spans="1:1" x14ac:dyDescent="0.3">
      <c r="A52" t="s">
        <v>176</v>
      </c>
    </row>
    <row r="53" spans="1:1" x14ac:dyDescent="0.3">
      <c r="A53" t="s">
        <v>177</v>
      </c>
    </row>
    <row r="54" spans="1:1" x14ac:dyDescent="0.3">
      <c r="A54" t="s">
        <v>178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4</vt:i4>
      </vt:variant>
    </vt:vector>
  </HeadingPairs>
  <TitlesOfParts>
    <vt:vector size="10" baseType="lpstr">
      <vt:lpstr>입찰리스트</vt:lpstr>
      <vt:lpstr>위임장-개인</vt:lpstr>
      <vt:lpstr>기일입찰표-개인</vt:lpstr>
      <vt:lpstr>위임장-법인</vt:lpstr>
      <vt:lpstr>기일입찰표-법인</vt:lpstr>
      <vt:lpstr>Sheet2</vt:lpstr>
      <vt:lpstr>'기일입찰표-개인'!Print_Area</vt:lpstr>
      <vt:lpstr>'기일입찰표-법인'!Print_Area</vt:lpstr>
      <vt:lpstr>'위임장-개인'!Print_Area</vt:lpstr>
      <vt:lpstr>'위임장-법인'!Print_Area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MJ경매-이쁜언니</dc:creator>
  <cp:lastModifiedBy>MJ경매-이쁜언니</cp:lastModifiedBy>
  <cp:lastPrinted>2025-10-16T08:11:27Z</cp:lastPrinted>
  <dcterms:created xsi:type="dcterms:W3CDTF">2025-09-26T03:24:37Z</dcterms:created>
  <dcterms:modified xsi:type="dcterms:W3CDTF">2025-10-24T06:12:31Z</dcterms:modified>
</cp:coreProperties>
</file>